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חוברת_עבודה_זו" defaultThemeVersion="164011"/>
  <mc:AlternateContent xmlns:mc="http://schemas.openxmlformats.org/markup-compatibility/2006">
    <mc:Choice Requires="x15">
      <x15ac:absPath xmlns:x15ac="http://schemas.microsoft.com/office/spreadsheetml/2010/11/ac" url="G:\Geohydrology\Apps\CS_Model_V02\data\Design_elements\"/>
    </mc:Choice>
  </mc:AlternateContent>
  <bookViews>
    <workbookView xWindow="0" yWindow="120" windowWidth="19200" windowHeight="7275" activeTab="1"/>
  </bookViews>
  <sheets>
    <sheet name="Index" sheetId="1" r:id="rId1"/>
    <sheet name="Index_DEMs" sheetId="2" r:id="rId2"/>
    <sheet name="Geology_Age" sheetId="5" r:id="rId3"/>
    <sheet name="geoINDEX200" sheetId="7" r:id="rId4"/>
    <sheet name="geoINDEX50" sheetId="8" r:id="rId5"/>
  </sheets>
  <definedNames>
    <definedName name="_xlnm._FilterDatabase" localSheetId="4" hidden="1">geoINDEX50!$H$1:$H$329</definedName>
    <definedName name="_xlnm._FilterDatabase" localSheetId="0" hidden="1">Index!$B$1:$B$690</definedName>
    <definedName name="_xlnm._FilterDatabase" localSheetId="1" hidden="1">Index_DEMs!$A$1:$A$98</definedName>
  </definedNames>
  <calcPr calcId="162913"/>
</workbook>
</file>

<file path=xl/calcChain.xml><?xml version="1.0" encoding="utf-8"?>
<calcChain xmlns="http://schemas.openxmlformats.org/spreadsheetml/2006/main">
  <c r="G245" i="1" l="1"/>
  <c r="G244" i="1"/>
  <c r="G241" i="1"/>
  <c r="G240" i="1"/>
  <c r="G239" i="1"/>
  <c r="G233" i="1"/>
  <c r="G232" i="1"/>
  <c r="G231" i="1"/>
  <c r="G230" i="1"/>
  <c r="G229" i="1"/>
  <c r="G227" i="1"/>
  <c r="G226" i="1"/>
  <c r="G223" i="1"/>
  <c r="G222" i="1"/>
  <c r="G221" i="1"/>
  <c r="G220" i="1"/>
  <c r="G219" i="1"/>
  <c r="G218" i="1"/>
  <c r="G216" i="1"/>
  <c r="G215" i="1"/>
  <c r="G214" i="1"/>
  <c r="G212" i="1"/>
  <c r="G210" i="1"/>
  <c r="G209" i="1"/>
  <c r="G208" i="1"/>
  <c r="G207" i="1"/>
  <c r="G206" i="1"/>
  <c r="G205" i="1"/>
  <c r="G204" i="1"/>
  <c r="G201" i="1"/>
  <c r="G198" i="1"/>
  <c r="G197" i="1"/>
  <c r="G196" i="1"/>
  <c r="G195" i="1"/>
  <c r="G194" i="1"/>
  <c r="G193" i="1"/>
  <c r="G191" i="1"/>
  <c r="G190" i="1"/>
  <c r="G189" i="1"/>
  <c r="G188" i="1"/>
  <c r="G187" i="1"/>
  <c r="G186" i="1"/>
  <c r="G184" i="1"/>
  <c r="G183" i="1"/>
  <c r="G182" i="1"/>
  <c r="G181" i="1"/>
  <c r="G180" i="1"/>
  <c r="G179" i="1"/>
  <c r="G178" i="1"/>
  <c r="G177" i="1"/>
  <c r="G176" i="1"/>
  <c r="G175" i="1"/>
  <c r="G174" i="1"/>
  <c r="G173" i="1"/>
  <c r="G170" i="1"/>
  <c r="G169" i="1"/>
  <c r="G168" i="1"/>
  <c r="G166" i="1"/>
  <c r="G165" i="1"/>
  <c r="G164" i="1"/>
  <c r="G163" i="1"/>
  <c r="G162" i="1"/>
  <c r="G159" i="1"/>
  <c r="G152" i="1"/>
  <c r="G150" i="1"/>
  <c r="G149" i="1"/>
  <c r="G148" i="1"/>
  <c r="G146" i="1"/>
  <c r="G143" i="1"/>
  <c r="G142" i="1"/>
  <c r="G141" i="1"/>
  <c r="G140" i="1"/>
  <c r="G138" i="1"/>
  <c r="G137" i="1"/>
  <c r="G136" i="1"/>
  <c r="G135" i="1"/>
  <c r="G134" i="1"/>
  <c r="G133" i="1"/>
  <c r="G132" i="1"/>
  <c r="G131" i="1"/>
  <c r="G129" i="1"/>
  <c r="G128" i="1"/>
  <c r="G127" i="1"/>
  <c r="G124" i="1"/>
  <c r="G123" i="1"/>
  <c r="G122" i="1"/>
  <c r="G121" i="1"/>
  <c r="G120" i="1"/>
  <c r="G119" i="1"/>
  <c r="G118" i="1"/>
  <c r="G116" i="1"/>
  <c r="G115" i="1"/>
  <c r="G114" i="1"/>
  <c r="G113" i="1"/>
  <c r="G112" i="1"/>
  <c r="G111" i="1"/>
  <c r="G110" i="1"/>
  <c r="G109" i="1"/>
  <c r="G108" i="1"/>
  <c r="G107" i="1"/>
  <c r="G106" i="1"/>
  <c r="G105" i="1"/>
  <c r="G104" i="1"/>
  <c r="G102" i="1"/>
  <c r="G101" i="1"/>
  <c r="G99" i="1"/>
  <c r="G98" i="1"/>
  <c r="G97" i="1"/>
  <c r="G96" i="1"/>
  <c r="G95" i="1"/>
  <c r="G94" i="1"/>
  <c r="G93" i="1"/>
  <c r="G92" i="1"/>
  <c r="G91" i="1"/>
  <c r="G90" i="1"/>
  <c r="G89" i="1"/>
  <c r="G88" i="1"/>
  <c r="G86" i="1"/>
  <c r="G84" i="1"/>
  <c r="G75" i="1"/>
  <c r="G74" i="1"/>
  <c r="G72" i="1"/>
  <c r="G69" i="1"/>
  <c r="G68" i="1"/>
  <c r="G67" i="1"/>
  <c r="G66" i="1"/>
  <c r="G65" i="1"/>
  <c r="G64" i="1"/>
  <c r="G62" i="1"/>
  <c r="G61" i="1"/>
  <c r="G60" i="1"/>
  <c r="G59" i="1"/>
  <c r="G58" i="1"/>
  <c r="G57" i="1"/>
  <c r="G56" i="1"/>
  <c r="G55" i="1"/>
  <c r="G54" i="1"/>
  <c r="G53" i="1"/>
  <c r="G52" i="1"/>
  <c r="G51" i="1"/>
  <c r="G50" i="1"/>
  <c r="G49" i="1"/>
  <c r="G48" i="1"/>
  <c r="G47" i="1"/>
  <c r="G46" i="1"/>
  <c r="G45" i="1"/>
  <c r="G44" i="1"/>
  <c r="G43" i="1"/>
  <c r="G41" i="1"/>
  <c r="G32" i="1"/>
  <c r="G30" i="1"/>
  <c r="G27" i="1"/>
  <c r="G26" i="1"/>
  <c r="G25" i="1"/>
  <c r="G21" i="1"/>
  <c r="G20" i="1"/>
  <c r="G19" i="1"/>
  <c r="G14" i="1"/>
  <c r="G13" i="1"/>
  <c r="G12" i="1"/>
  <c r="G11" i="1"/>
  <c r="G10" i="1"/>
  <c r="G9" i="1"/>
  <c r="G8" i="1"/>
  <c r="G7" i="1"/>
  <c r="G6" i="1"/>
  <c r="G5" i="1"/>
  <c r="G4" i="1"/>
  <c r="G3" i="1"/>
  <c r="G2" i="1"/>
  <c r="E14" i="2" l="1"/>
  <c r="B14" i="2"/>
  <c r="E3" i="2" l="1"/>
  <c r="E4" i="2"/>
  <c r="E5" i="2"/>
  <c r="E6" i="2"/>
  <c r="E7" i="2"/>
  <c r="E8" i="2"/>
  <c r="E9" i="2"/>
  <c r="E10" i="2"/>
  <c r="E11" i="2"/>
  <c r="E12" i="2"/>
  <c r="E13" i="2"/>
  <c r="E15" i="2"/>
  <c r="E16" i="2"/>
  <c r="E17" i="2"/>
  <c r="E18" i="2"/>
  <c r="E19" i="2"/>
  <c r="E20" i="2"/>
  <c r="E21" i="2"/>
  <c r="E22" i="2"/>
  <c r="E23" i="2"/>
  <c r="E24" i="2"/>
  <c r="E25" i="2"/>
  <c r="E26" i="2"/>
  <c r="E27" i="2"/>
  <c r="E2" i="2"/>
  <c r="B21" i="2" l="1"/>
  <c r="B22" i="2"/>
  <c r="B23" i="2"/>
  <c r="B24" i="2"/>
  <c r="B25" i="2"/>
  <c r="B26" i="2"/>
  <c r="B27" i="2"/>
  <c r="B4" i="2"/>
  <c r="B5" i="2"/>
  <c r="B6" i="2"/>
  <c r="B7" i="2"/>
  <c r="B8" i="2"/>
  <c r="B9" i="2"/>
  <c r="B10" i="2"/>
  <c r="B11" i="2"/>
  <c r="B12" i="2"/>
  <c r="B13" i="2"/>
  <c r="B15" i="2"/>
  <c r="B16" i="2"/>
  <c r="B17" i="2"/>
  <c r="B18" i="2"/>
  <c r="B19" i="2"/>
  <c r="B20" i="2"/>
  <c r="B3" i="2"/>
  <c r="B2" i="2" l="1"/>
  <c r="C1" i="2" l="1"/>
</calcChain>
</file>

<file path=xl/comments1.xml><?xml version="1.0" encoding="utf-8"?>
<comments xmlns="http://schemas.openxmlformats.org/spreadsheetml/2006/main">
  <authors>
    <author>Isaac Yoni</author>
  </authors>
  <commentList>
    <comment ref="A137" authorId="0" shapeId="0">
      <text>
        <r>
          <rPr>
            <b/>
            <sz val="9"/>
            <color indexed="81"/>
            <rFont val="Tahoma"/>
            <family val="2"/>
          </rPr>
          <t>Isaac Yoni:</t>
        </r>
        <r>
          <rPr>
            <sz val="9"/>
            <color indexed="81"/>
            <rFont val="Tahoma"/>
            <family val="2"/>
          </rPr>
          <t xml:space="preserve">
שיוך שגוי - יש לתקן ל-9</t>
        </r>
      </text>
    </comment>
    <comment ref="B323" authorId="0" shapeId="0">
      <text>
        <r>
          <rPr>
            <b/>
            <sz val="9"/>
            <color indexed="81"/>
            <rFont val="Tahoma"/>
            <family val="2"/>
          </rPr>
          <t>Isaac Yoni:</t>
        </r>
        <r>
          <rPr>
            <sz val="9"/>
            <color indexed="81"/>
            <rFont val="Tahoma"/>
            <family val="2"/>
          </rPr>
          <t xml:space="preserve">
חוואר</t>
        </r>
      </text>
    </comment>
    <comment ref="C323" authorId="0" shapeId="0">
      <text>
        <r>
          <rPr>
            <b/>
            <sz val="9"/>
            <color indexed="81"/>
            <rFont val="Tahoma"/>
            <family val="2"/>
          </rPr>
          <t>Isaac Yoni:</t>
        </r>
        <r>
          <rPr>
            <sz val="9"/>
            <color indexed="81"/>
            <rFont val="Tahoma"/>
            <family val="2"/>
          </rPr>
          <t xml:space="preserve">
חוואר</t>
        </r>
      </text>
    </comment>
    <comment ref="B338" authorId="0" shapeId="0">
      <text>
        <r>
          <rPr>
            <b/>
            <sz val="9"/>
            <color indexed="81"/>
            <rFont val="Tahoma"/>
            <family val="2"/>
          </rPr>
          <t>Isaac Yoni:</t>
        </r>
        <r>
          <rPr>
            <sz val="9"/>
            <color indexed="81"/>
            <rFont val="Tahoma"/>
            <family val="2"/>
          </rPr>
          <t xml:space="preserve">
קירטון</t>
        </r>
      </text>
    </comment>
    <comment ref="C338" authorId="0" shapeId="0">
      <text>
        <r>
          <rPr>
            <b/>
            <sz val="9"/>
            <color indexed="81"/>
            <rFont val="Tahoma"/>
            <family val="2"/>
          </rPr>
          <t>Isaac Yoni:</t>
        </r>
        <r>
          <rPr>
            <sz val="9"/>
            <color indexed="81"/>
            <rFont val="Tahoma"/>
            <family val="2"/>
          </rPr>
          <t xml:space="preserve">
קירטון</t>
        </r>
      </text>
    </comment>
  </commentList>
</comments>
</file>

<file path=xl/sharedStrings.xml><?xml version="1.0" encoding="utf-8"?>
<sst xmlns="http://schemas.openxmlformats.org/spreadsheetml/2006/main" count="5907" uniqueCount="3378">
  <si>
    <t>Ziv</t>
  </si>
  <si>
    <t>Zemah</t>
  </si>
  <si>
    <t>Yam</t>
  </si>
  <si>
    <t>Shehoret</t>
  </si>
  <si>
    <t>Zihor</t>
  </si>
  <si>
    <t>Rosh Pina</t>
  </si>
  <si>
    <t>Rishon Lezion Volcs.</t>
  </si>
  <si>
    <t>Hordos</t>
  </si>
  <si>
    <t>Gesher</t>
  </si>
  <si>
    <t>Ruman Volcanics</t>
  </si>
  <si>
    <t>Hatira</t>
  </si>
  <si>
    <t>Sakhnin</t>
  </si>
  <si>
    <t>Hazor</t>
  </si>
  <si>
    <t>Ubediye</t>
  </si>
  <si>
    <t>Aminadav</t>
  </si>
  <si>
    <t>Weradim</t>
  </si>
  <si>
    <t>Ramim</t>
  </si>
  <si>
    <t>Doroth Schist</t>
  </si>
  <si>
    <t>Karmia Shale</t>
  </si>
  <si>
    <t>Erez Conglomerate</t>
  </si>
  <si>
    <t>Hatrurim</t>
  </si>
  <si>
    <t>Ramon Basalt</t>
  </si>
  <si>
    <t>Qatana</t>
  </si>
  <si>
    <t>Kefira</t>
  </si>
  <si>
    <t>Dayka</t>
  </si>
  <si>
    <t>Shivta</t>
  </si>
  <si>
    <t>Ortal Volcanics</t>
  </si>
  <si>
    <t>Golan Volcanics</t>
  </si>
  <si>
    <t>Notera</t>
  </si>
  <si>
    <t>Delta</t>
  </si>
  <si>
    <t>Deborah Volcanics</t>
  </si>
  <si>
    <t>Basement Complex</t>
  </si>
  <si>
    <t>Tamun</t>
  </si>
  <si>
    <t>Lower Basalt</t>
  </si>
  <si>
    <t>Bira</t>
  </si>
  <si>
    <t>Cover Basalt</t>
  </si>
  <si>
    <t>Nezer</t>
  </si>
  <si>
    <t>Sheva</t>
  </si>
  <si>
    <t>National Park Volcs.</t>
  </si>
  <si>
    <t>Afridar Clastics</t>
  </si>
  <si>
    <t>Shezaf</t>
  </si>
  <si>
    <t>Zafir</t>
  </si>
  <si>
    <t>Ora Shale (Abu Qada)</t>
  </si>
  <si>
    <t>Gerofit (Wata)</t>
  </si>
  <si>
    <t>Mor</t>
  </si>
  <si>
    <t>Nizzana</t>
  </si>
  <si>
    <t>Zeweira - Lower</t>
  </si>
  <si>
    <t>Horsha</t>
  </si>
  <si>
    <t>LC-3</t>
  </si>
  <si>
    <t>Tayasir Volcanics</t>
  </si>
  <si>
    <t>Zeweira - Upper</t>
  </si>
  <si>
    <t>Dargot</t>
  </si>
  <si>
    <t>Shefayim</t>
  </si>
  <si>
    <t>Malhata - Lower</t>
  </si>
  <si>
    <t>Asher Volcanics</t>
  </si>
  <si>
    <t>Malhata - Medial</t>
  </si>
  <si>
    <t>Barnea</t>
  </si>
  <si>
    <t>Malhata - Upper</t>
  </si>
  <si>
    <t>Uza - Lower</t>
  </si>
  <si>
    <t>Item</t>
  </si>
  <si>
    <t>Uza - Upper</t>
  </si>
  <si>
    <t>KURNUB</t>
  </si>
  <si>
    <t>Yagor</t>
  </si>
  <si>
    <t>Haifa Bay</t>
  </si>
  <si>
    <t>7.1.1</t>
  </si>
  <si>
    <t>Havyon</t>
  </si>
  <si>
    <t>Negba</t>
  </si>
  <si>
    <t>Ein El Assad</t>
  </si>
  <si>
    <t>Bina</t>
  </si>
  <si>
    <t>7.2.6</t>
  </si>
  <si>
    <t>E'in Qinya</t>
  </si>
  <si>
    <t>Taqiye</t>
  </si>
  <si>
    <t>7.2.5</t>
  </si>
  <si>
    <t>Adulam</t>
  </si>
  <si>
    <t>7.2.4</t>
  </si>
  <si>
    <t>Maresha</t>
  </si>
  <si>
    <t>7.2.3</t>
  </si>
  <si>
    <t>Givat Ye'arim</t>
  </si>
  <si>
    <t>7.2.2</t>
  </si>
  <si>
    <t>Soreq</t>
  </si>
  <si>
    <t>Shederot</t>
  </si>
  <si>
    <t>7.2.1</t>
  </si>
  <si>
    <t>Kesalon</t>
  </si>
  <si>
    <t>Karmon</t>
  </si>
  <si>
    <t>JUDEA LOWER</t>
  </si>
  <si>
    <t>Talme Yafe</t>
  </si>
  <si>
    <t>6.1.1</t>
  </si>
  <si>
    <t>E'in Yorqe'am</t>
  </si>
  <si>
    <t>Ashdod Clastics</t>
  </si>
  <si>
    <t>6.3.1</t>
  </si>
  <si>
    <t>Dir Hanna</t>
  </si>
  <si>
    <t>Ziqim</t>
  </si>
  <si>
    <t>6.2.2</t>
  </si>
  <si>
    <t>Bet Meir</t>
  </si>
  <si>
    <t>Noa</t>
  </si>
  <si>
    <t>6.2.1</t>
  </si>
  <si>
    <t>Moza</t>
  </si>
  <si>
    <t>Derorim</t>
  </si>
  <si>
    <t>JUDEA AQUICLOD</t>
  </si>
  <si>
    <t>Menuha</t>
  </si>
  <si>
    <t>Mishash</t>
  </si>
  <si>
    <t>Dalyya</t>
  </si>
  <si>
    <t>Ghareb</t>
  </si>
  <si>
    <t>Hazeva</t>
  </si>
  <si>
    <t>5.3.1</t>
  </si>
  <si>
    <t>Sedom</t>
  </si>
  <si>
    <t>5.1.6</t>
  </si>
  <si>
    <t>Zafit</t>
  </si>
  <si>
    <t>Zenifim</t>
  </si>
  <si>
    <t>5.1.5</t>
  </si>
  <si>
    <t>Avnon</t>
  </si>
  <si>
    <t>5.1.4</t>
  </si>
  <si>
    <t>Tamar</t>
  </si>
  <si>
    <t>Arqov</t>
  </si>
  <si>
    <t>5.1.3</t>
  </si>
  <si>
    <t>Yamin</t>
  </si>
  <si>
    <t>5.1.2</t>
  </si>
  <si>
    <t>Gevanim</t>
  </si>
  <si>
    <t>5.1.1</t>
  </si>
  <si>
    <t>Saharonim</t>
  </si>
  <si>
    <t>5.2.4</t>
  </si>
  <si>
    <t>Mohilla</t>
  </si>
  <si>
    <t>5.2.3</t>
  </si>
  <si>
    <t>Kfar Shaul</t>
  </si>
  <si>
    <t>Ardon</t>
  </si>
  <si>
    <t>5.2.2</t>
  </si>
  <si>
    <t>Inmar Lower</t>
  </si>
  <si>
    <t>Qeren</t>
  </si>
  <si>
    <t>JUDEA UPPER</t>
  </si>
  <si>
    <t>Inmar Upper</t>
  </si>
  <si>
    <t>Daya</t>
  </si>
  <si>
    <t>E'in Zetim</t>
  </si>
  <si>
    <t>Sherif</t>
  </si>
  <si>
    <t>Zohar</t>
  </si>
  <si>
    <t>Kidod</t>
  </si>
  <si>
    <t>Beer Sheva</t>
  </si>
  <si>
    <t>MOUNT SCOPUS</t>
  </si>
  <si>
    <t>Haluza</t>
  </si>
  <si>
    <t>Timrat</t>
  </si>
  <si>
    <t>Bar Kokhaba</t>
  </si>
  <si>
    <t>AVEDAT</t>
  </si>
  <si>
    <t>2.3.1</t>
  </si>
  <si>
    <t>Bira Gesher</t>
  </si>
  <si>
    <t>2.2.4</t>
  </si>
  <si>
    <t>Bit Guvrin</t>
  </si>
  <si>
    <t>2.2.3</t>
  </si>
  <si>
    <t>Lakish</t>
  </si>
  <si>
    <t>2.2.2</t>
  </si>
  <si>
    <t>Ziqlag</t>
  </si>
  <si>
    <t>2.2.1</t>
  </si>
  <si>
    <t>Bit Nir</t>
  </si>
  <si>
    <t>Helez</t>
  </si>
  <si>
    <t>Afiq</t>
  </si>
  <si>
    <t>Telamim</t>
  </si>
  <si>
    <t>Yafo</t>
  </si>
  <si>
    <t>Yakhini</t>
  </si>
  <si>
    <t>1.2.2</t>
  </si>
  <si>
    <t>Ahuzam</t>
  </si>
  <si>
    <t>1.2.1</t>
  </si>
  <si>
    <t>Pleshet</t>
  </si>
  <si>
    <t>1.1.2</t>
  </si>
  <si>
    <t>Amora</t>
  </si>
  <si>
    <t>1.1.1.1</t>
  </si>
  <si>
    <t>Samara</t>
  </si>
  <si>
    <t>1.1.1</t>
  </si>
  <si>
    <t>Lisan</t>
  </si>
  <si>
    <t>Mavqim</t>
  </si>
  <si>
    <t>2.1.6</t>
  </si>
  <si>
    <t>2.2.1.1</t>
  </si>
  <si>
    <t>2.2.1.2</t>
  </si>
  <si>
    <t>8.2.5</t>
  </si>
  <si>
    <t>8.2.2</t>
  </si>
  <si>
    <t>8.2.3</t>
  </si>
  <si>
    <t>8.2.4</t>
  </si>
  <si>
    <t>8.2.2.1</t>
  </si>
  <si>
    <t>8.2.3.1</t>
  </si>
  <si>
    <t>8.2.4.1</t>
  </si>
  <si>
    <t>9.1.1</t>
  </si>
  <si>
    <t>9.1.2</t>
  </si>
  <si>
    <t>9.1.3</t>
  </si>
  <si>
    <t>Safa</t>
  </si>
  <si>
    <t>9.1.4</t>
  </si>
  <si>
    <t>9.1.5</t>
  </si>
  <si>
    <t>9.1.6</t>
  </si>
  <si>
    <t>9.1.5.1</t>
  </si>
  <si>
    <t>Bir Maghara</t>
  </si>
  <si>
    <t>9.1.7</t>
  </si>
  <si>
    <t>9.1.8</t>
  </si>
  <si>
    <t>9.1.9</t>
  </si>
  <si>
    <t>Raa'f</t>
  </si>
  <si>
    <t>Budra - RAMON</t>
  </si>
  <si>
    <t>Saa'd</t>
  </si>
  <si>
    <t>Abo Thora</t>
  </si>
  <si>
    <t>Um Bogma</t>
  </si>
  <si>
    <t>Budra - NEGEV</t>
  </si>
  <si>
    <t>11.1.2</t>
  </si>
  <si>
    <t>Netafim</t>
  </si>
  <si>
    <t>Timna'</t>
  </si>
  <si>
    <t>A'mudei Shelomo</t>
  </si>
  <si>
    <t>12.1.4</t>
  </si>
  <si>
    <t>ARAD</t>
  </si>
  <si>
    <t>RAMON</t>
  </si>
  <si>
    <t>NEGEV</t>
  </si>
  <si>
    <t>YAM SUF</t>
  </si>
  <si>
    <t>1.1.3</t>
  </si>
  <si>
    <t>1.1.4</t>
  </si>
  <si>
    <t>2.2.2.1</t>
  </si>
  <si>
    <t>2.2.2.2</t>
  </si>
  <si>
    <t>shiqma</t>
  </si>
  <si>
    <t>2.2.2.3</t>
  </si>
  <si>
    <t>2.2.4.1</t>
  </si>
  <si>
    <t>Nahal'oz Clast</t>
  </si>
  <si>
    <t>2.2.5</t>
  </si>
  <si>
    <t>2.2.6</t>
  </si>
  <si>
    <t>2.2.6.2</t>
  </si>
  <si>
    <t>Um Sabuna Cgl</t>
  </si>
  <si>
    <t>E'n Gev</t>
  </si>
  <si>
    <t>2.3.2</t>
  </si>
  <si>
    <t>2.3.3</t>
  </si>
  <si>
    <t>2.3.4</t>
  </si>
  <si>
    <t>2.3.4.1</t>
  </si>
  <si>
    <t>2.3.5</t>
  </si>
  <si>
    <t>2.3.5.1</t>
  </si>
  <si>
    <t>2.3.5.2</t>
  </si>
  <si>
    <t>5.2.1.1</t>
  </si>
  <si>
    <t>Muhraka</t>
  </si>
  <si>
    <t>Jundeia Chalk</t>
  </si>
  <si>
    <t>Shefeya Tuff</t>
  </si>
  <si>
    <t>Khuriebe Chalk</t>
  </si>
  <si>
    <t>Um A Tuss Tuff</t>
  </si>
  <si>
    <t>9.2.1-4</t>
  </si>
  <si>
    <t>9.2.1</t>
  </si>
  <si>
    <t>9.2.2</t>
  </si>
  <si>
    <t>9.2.3</t>
  </si>
  <si>
    <t>9.2.4</t>
  </si>
  <si>
    <t>10.1.6.2</t>
  </si>
  <si>
    <t>10.1.8</t>
  </si>
  <si>
    <t>12.1.5</t>
  </si>
  <si>
    <t>12.1.6</t>
  </si>
  <si>
    <t>12.1.7</t>
  </si>
  <si>
    <t>12.1.8</t>
  </si>
  <si>
    <t>13.1.1</t>
  </si>
  <si>
    <t>13.1.2</t>
  </si>
  <si>
    <t>13.1.3</t>
  </si>
  <si>
    <t>13.1.4</t>
  </si>
  <si>
    <t>JUDEA GROUP UNDIV</t>
  </si>
  <si>
    <t>Bet Oren LST</t>
  </si>
  <si>
    <t>Furadis Tuff</t>
  </si>
  <si>
    <t>I'sfiye Chalk</t>
  </si>
  <si>
    <t>Igzim Tuff</t>
  </si>
  <si>
    <t>8.2.5.1</t>
  </si>
  <si>
    <t>8.2.1-5</t>
  </si>
  <si>
    <t>Charmel Chalk Complex</t>
  </si>
  <si>
    <t>Charmel Tuff Complex</t>
  </si>
  <si>
    <t>8.2.1-5.1</t>
  </si>
  <si>
    <t>8.2.1-5.2</t>
  </si>
  <si>
    <t>7.2-3.1-4</t>
  </si>
  <si>
    <t>Tamon</t>
  </si>
  <si>
    <t>7.2-3.5-7</t>
  </si>
  <si>
    <t>7.2.5-7.1</t>
  </si>
  <si>
    <t>7.2-3.7</t>
  </si>
  <si>
    <t>Zalmon</t>
  </si>
  <si>
    <t>7.3.5-6</t>
  </si>
  <si>
    <t>Hazera</t>
  </si>
  <si>
    <t>7.1.2</t>
  </si>
  <si>
    <t>Gevar A'm</t>
  </si>
  <si>
    <t>9.2-3.5</t>
  </si>
  <si>
    <t>9.2-3.6</t>
  </si>
  <si>
    <t>10.2.1</t>
  </si>
  <si>
    <t>10.1-3.2</t>
  </si>
  <si>
    <t>10.3.2.1</t>
  </si>
  <si>
    <t>10.1-3.3</t>
  </si>
  <si>
    <t>10.1-3.4</t>
  </si>
  <si>
    <t>Haifa Upper</t>
  </si>
  <si>
    <t>10.2-3.3-4.1</t>
  </si>
  <si>
    <t>10.2.3-4.2</t>
  </si>
  <si>
    <t>10.1-2.5</t>
  </si>
  <si>
    <t>Hermon Upper</t>
  </si>
  <si>
    <t>10.3.5</t>
  </si>
  <si>
    <t>10.1-2.6</t>
  </si>
  <si>
    <t>10.1-2.6.1</t>
  </si>
  <si>
    <t>Hermon Middel</t>
  </si>
  <si>
    <t>10.3.6-7</t>
  </si>
  <si>
    <t>10.1-2.7</t>
  </si>
  <si>
    <t>10.1.7.1</t>
  </si>
  <si>
    <t>10.1.7.2</t>
  </si>
  <si>
    <t>Mahmal</t>
  </si>
  <si>
    <t>10.1-2.7.3</t>
  </si>
  <si>
    <t>10.2.8.1</t>
  </si>
  <si>
    <t>10.2.7-8</t>
  </si>
  <si>
    <t>Haifa</t>
  </si>
  <si>
    <t>10.2-3.5-8</t>
  </si>
  <si>
    <t>10.1-3.9</t>
  </si>
  <si>
    <t>Hermon Lower</t>
  </si>
  <si>
    <t>10.3.7-9</t>
  </si>
  <si>
    <t>10.1-2.10</t>
  </si>
  <si>
    <t>Nirim Upper</t>
  </si>
  <si>
    <t>10.3.10</t>
  </si>
  <si>
    <t>10.1-2.11</t>
  </si>
  <si>
    <t>10.1.11.1</t>
  </si>
  <si>
    <t>Mish'hor</t>
  </si>
  <si>
    <t>4.1-3.1</t>
  </si>
  <si>
    <t>4.1-3.2</t>
  </si>
  <si>
    <t>4.1.1-2</t>
  </si>
  <si>
    <t>4.1,3.3</t>
  </si>
  <si>
    <t>4.1,3.4</t>
  </si>
  <si>
    <t>Sayyarim</t>
  </si>
  <si>
    <t>4.1.3-4</t>
  </si>
  <si>
    <t>4.1.5</t>
  </si>
  <si>
    <t>4.2-3.3-5</t>
  </si>
  <si>
    <t>Bat Shelomo Tuff</t>
  </si>
  <si>
    <t>4.2.4.1</t>
  </si>
  <si>
    <t>0.3.1</t>
  </si>
  <si>
    <t>0.3.2</t>
  </si>
  <si>
    <t>Sabkha</t>
  </si>
  <si>
    <t>0.1.1</t>
  </si>
  <si>
    <t>Ded Sea Riff Valley</t>
  </si>
  <si>
    <t>0.1.2</t>
  </si>
  <si>
    <t>Dune</t>
  </si>
  <si>
    <t>0.2.1-2</t>
  </si>
  <si>
    <t>Metrad</t>
  </si>
  <si>
    <t>3.1.1</t>
  </si>
  <si>
    <t>3.1.2</t>
  </si>
  <si>
    <t>Nahal Yater</t>
  </si>
  <si>
    <t>3.1.1-2.1</t>
  </si>
  <si>
    <t>3.1.3</t>
  </si>
  <si>
    <t>3.1.4</t>
  </si>
  <si>
    <t>3.2-3.1-2</t>
  </si>
  <si>
    <t>3.2-3.3-4</t>
  </si>
  <si>
    <t>3.3.3</t>
  </si>
  <si>
    <t>3.3.4</t>
  </si>
  <si>
    <t>1.3.1</t>
  </si>
  <si>
    <t>1.3.2</t>
  </si>
  <si>
    <t>1.3.3</t>
  </si>
  <si>
    <t>1.3.1-3</t>
  </si>
  <si>
    <t>5.1.1.1</t>
  </si>
  <si>
    <t>5.1.2-3.1</t>
  </si>
  <si>
    <t>Yotvata</t>
  </si>
  <si>
    <t>5.1.4-5.1</t>
  </si>
  <si>
    <t>מיקום לא סופי</t>
  </si>
  <si>
    <t>שיוך לא סופי</t>
  </si>
  <si>
    <t>Nir A'm</t>
  </si>
  <si>
    <t>10.2.1.1</t>
  </si>
  <si>
    <t>10.1-2.12</t>
  </si>
  <si>
    <t>10.3.9.1</t>
  </si>
  <si>
    <t>9.1.1-9</t>
  </si>
  <si>
    <t>12.1-3.1</t>
  </si>
  <si>
    <t>12.1-2.2</t>
  </si>
  <si>
    <t>12.1.1-2.1</t>
  </si>
  <si>
    <t>12.1-2.3</t>
  </si>
  <si>
    <t>10.2.3.1</t>
  </si>
  <si>
    <t>Gevim OP</t>
  </si>
  <si>
    <t>12.2.7-8</t>
  </si>
  <si>
    <t>שיוך לא ברור</t>
  </si>
  <si>
    <t>11.1-3.1</t>
  </si>
  <si>
    <t>11.1.1.1</t>
  </si>
  <si>
    <t>11.1-3.3</t>
  </si>
  <si>
    <t>11.1-3.4</t>
  </si>
  <si>
    <t>11.1-3.5</t>
  </si>
  <si>
    <t>11.1.2-6</t>
  </si>
  <si>
    <t>TASHTIT</t>
  </si>
  <si>
    <t>14.1.1</t>
  </si>
  <si>
    <t>Unnamea Cgl</t>
  </si>
  <si>
    <t>14.2.1</t>
  </si>
  <si>
    <t>14.2.1.1</t>
  </si>
  <si>
    <t>9.3.5.1</t>
  </si>
  <si>
    <t>2.2.1.3</t>
  </si>
  <si>
    <t>9.2-3.7</t>
  </si>
  <si>
    <t>9.3.8</t>
  </si>
  <si>
    <t>9.2.5-8</t>
  </si>
  <si>
    <t>10.3.5.1</t>
  </si>
  <si>
    <t>שיוך שם לא סופי</t>
  </si>
  <si>
    <t>Mazar</t>
  </si>
  <si>
    <t>Arava Cgl</t>
  </si>
  <si>
    <t>Ein Yahav Volc</t>
  </si>
  <si>
    <t>1.1.2-3.1</t>
  </si>
  <si>
    <t>1.1.3-4.1</t>
  </si>
  <si>
    <t>S.Gharib (RAS MALA'AB Gr)</t>
  </si>
  <si>
    <t>Zeit  (RAS MALA'AB Gr)</t>
  </si>
  <si>
    <t>Belayim (RAS MALA'AB Gr)</t>
  </si>
  <si>
    <t>Kareem (RAS MALA'AB Gr)</t>
  </si>
  <si>
    <t>Rudis (Ghar Andal Gr)</t>
  </si>
  <si>
    <t>Nukhal (Ghar Andal Gr)</t>
  </si>
  <si>
    <t>1.1.5</t>
  </si>
  <si>
    <t>1.1.6</t>
  </si>
  <si>
    <t>1.1.7</t>
  </si>
  <si>
    <t>1.1.8</t>
  </si>
  <si>
    <t>1.1.9</t>
  </si>
  <si>
    <t>1.1.10</t>
  </si>
  <si>
    <t>1.1.5-10.2</t>
  </si>
  <si>
    <t>Heimur</t>
  </si>
  <si>
    <t>Raham Cgl</t>
  </si>
  <si>
    <t>Suez Volc</t>
  </si>
  <si>
    <t>2.2.4.2</t>
  </si>
  <si>
    <t>Abu Zamina</t>
  </si>
  <si>
    <t>Qeziot</t>
  </si>
  <si>
    <t>Taka</t>
  </si>
  <si>
    <t>2.1.7</t>
  </si>
  <si>
    <t>2.1.8.1</t>
  </si>
  <si>
    <t>2.1.8.2</t>
  </si>
  <si>
    <t>2.2.6-8.1</t>
  </si>
  <si>
    <t>Susita</t>
  </si>
  <si>
    <t>Fiq</t>
  </si>
  <si>
    <t>2.3.6-7</t>
  </si>
  <si>
    <t>2.3.7-8</t>
  </si>
  <si>
    <t>תצורות אלו אינן שייכות לחבורת כפר גלעדי הצפונית אך תאורכות לאוליגוקן - לכן שוייכו לכאן</t>
  </si>
  <si>
    <t>תצורות אלו אינן שייכות לחבורת ים המלח הדרומית אך מתאורכות לאוליגוקן - לכן שוייכו לכאן</t>
  </si>
  <si>
    <t>Intran Basalt</t>
  </si>
  <si>
    <t>2.3.4.2</t>
  </si>
  <si>
    <t>Faggas Tuff</t>
  </si>
  <si>
    <t>2.3.3.1</t>
  </si>
  <si>
    <t>Alluviom Dand Duns, Feefs Sabkhae, Lake Deposits</t>
  </si>
  <si>
    <t>1.1.1-10.3</t>
  </si>
  <si>
    <t>2.1.6-7.1</t>
  </si>
  <si>
    <t>Not Clear / Loss</t>
  </si>
  <si>
    <t>type</t>
  </si>
  <si>
    <t>f_name</t>
  </si>
  <si>
    <t>f_ID</t>
  </si>
  <si>
    <t>formations</t>
  </si>
  <si>
    <t>f_comm</t>
  </si>
  <si>
    <t>f_colour</t>
  </si>
  <si>
    <t>Colour_Expreation</t>
  </si>
  <si>
    <t>materials</t>
  </si>
  <si>
    <t>Clay</t>
  </si>
  <si>
    <t>Clay-Shales</t>
  </si>
  <si>
    <t>Clay-Silt</t>
  </si>
  <si>
    <t>Clay-Sand</t>
  </si>
  <si>
    <t>Clay-Pebble/Conglomerate</t>
  </si>
  <si>
    <t>Silt</t>
  </si>
  <si>
    <t>Silt-Clay</t>
  </si>
  <si>
    <t>Silt-Sand</t>
  </si>
  <si>
    <t>Silt-Limeston</t>
  </si>
  <si>
    <t>Silt-Pebble/Conglomerate</t>
  </si>
  <si>
    <t>Sand</t>
  </si>
  <si>
    <t>Sand-Clay</t>
  </si>
  <si>
    <t>Sand-Silt</t>
  </si>
  <si>
    <t>Sand-Limeston</t>
  </si>
  <si>
    <t>Sand-Pebble/Conglomerate</t>
  </si>
  <si>
    <t>Sand-Marl</t>
  </si>
  <si>
    <t>Sand-Chalk</t>
  </si>
  <si>
    <t>Sandston</t>
  </si>
  <si>
    <t>Sandston-Clay</t>
  </si>
  <si>
    <t>Sandston-Shales</t>
  </si>
  <si>
    <t>Sandston-Silt</t>
  </si>
  <si>
    <t>Sandston-Sand</t>
  </si>
  <si>
    <t>Sandston-Pebble/Conglomerate</t>
  </si>
  <si>
    <t>Sandston-Marl</t>
  </si>
  <si>
    <t>Sandston-Chalk</t>
  </si>
  <si>
    <t>Pebble/Conglomerate</t>
  </si>
  <si>
    <t>Pebble/Conglomerate-Sand</t>
  </si>
  <si>
    <t>Pebble/Conglomerate-Limeston</t>
  </si>
  <si>
    <t>Pebble/Conglomerate-Marl</t>
  </si>
  <si>
    <t>Marl</t>
  </si>
  <si>
    <t>Marl-Sand</t>
  </si>
  <si>
    <t>Marl-Limeston</t>
  </si>
  <si>
    <t>Marl-Pebble/Conglomerate</t>
  </si>
  <si>
    <t>Marl-Dolomite</t>
  </si>
  <si>
    <t>Chalk</t>
  </si>
  <si>
    <t>Chalk-Clay</t>
  </si>
  <si>
    <t>Chalk-Shales</t>
  </si>
  <si>
    <t>Chalk-Pebble/Conglomerate</t>
  </si>
  <si>
    <t>Chalk-Marl</t>
  </si>
  <si>
    <t>Chalk-Limeston</t>
  </si>
  <si>
    <t>Chalk-Dolomite</t>
  </si>
  <si>
    <t>Limeston</t>
  </si>
  <si>
    <t>Limeston-Clay</t>
  </si>
  <si>
    <t>Limeston-Cliff</t>
  </si>
  <si>
    <t>Limeston-Shales</t>
  </si>
  <si>
    <t>Limeston-Pebble/Conglomerate</t>
  </si>
  <si>
    <t>Limeston-Marl</t>
  </si>
  <si>
    <t>Limeston-Chalk</t>
  </si>
  <si>
    <t>Limeston-Dolomite</t>
  </si>
  <si>
    <t>Limeston-Flint/Chert</t>
  </si>
  <si>
    <t>Dolomite-Cliff</t>
  </si>
  <si>
    <t>Dolomite</t>
  </si>
  <si>
    <t>Dolomite-Clay</t>
  </si>
  <si>
    <t>Dolomite-Marl</t>
  </si>
  <si>
    <t>Dolomite-Chalk</t>
  </si>
  <si>
    <t>Dolomite-Limeston</t>
  </si>
  <si>
    <t>Basalt</t>
  </si>
  <si>
    <t>Basalt-Clay (Litearit)</t>
  </si>
  <si>
    <t>Basalt-Marl</t>
  </si>
  <si>
    <t>Basalt-Chalk</t>
  </si>
  <si>
    <t>Basalt-Limeston</t>
  </si>
  <si>
    <t>Cliff-Shales</t>
  </si>
  <si>
    <t>Shales</t>
  </si>
  <si>
    <t>Flint/Chert</t>
  </si>
  <si>
    <t>Flint/Chert-Chalk</t>
  </si>
  <si>
    <t>#000000</t>
  </si>
  <si>
    <t>SAHAF-ALLUVIUM</t>
  </si>
  <si>
    <t>DED SEA-KURKAR-HULA</t>
  </si>
  <si>
    <t>SAQIYE-KEFAR GELA'DI</t>
  </si>
  <si>
    <t>Dolomite-Shales</t>
  </si>
  <si>
    <t>Cliff</t>
  </si>
  <si>
    <t>DTM</t>
  </si>
  <si>
    <t>D.E.Ms</t>
  </si>
  <si>
    <t>Bitumen</t>
  </si>
  <si>
    <t>Bitumen-Marl</t>
  </si>
  <si>
    <t>Bitumen-Chalk</t>
  </si>
  <si>
    <t>Clay-Marl</t>
  </si>
  <si>
    <t>Clay-Chalk</t>
  </si>
  <si>
    <t>Chalk-Bitumen</t>
  </si>
  <si>
    <t>6.3.1.1</t>
  </si>
  <si>
    <t>Um el Fahm Tuff</t>
  </si>
  <si>
    <t>Zikharon</t>
  </si>
  <si>
    <t>Arqan</t>
  </si>
  <si>
    <t>Sumaq</t>
  </si>
  <si>
    <t>5.1-3.1</t>
  </si>
  <si>
    <t>5.3.2.1</t>
  </si>
  <si>
    <t>5.3.2.2</t>
  </si>
  <si>
    <t>5.3.1.1</t>
  </si>
  <si>
    <t>5.3.1.2</t>
  </si>
  <si>
    <t>Bitumen-Limeston</t>
  </si>
  <si>
    <t>Limeston-Bitumen</t>
  </si>
  <si>
    <t>Dolomite-Flint/Chert</t>
  </si>
  <si>
    <t>Dolomite-Bitumen</t>
  </si>
  <si>
    <t>Clay-Limeston</t>
  </si>
  <si>
    <t>Kamon</t>
  </si>
  <si>
    <t>7.3.1</t>
  </si>
  <si>
    <t>Hidra&amp;Rama</t>
  </si>
  <si>
    <t>7.3.2</t>
  </si>
  <si>
    <t>groups</t>
  </si>
  <si>
    <t>Clay-Sandston</t>
  </si>
  <si>
    <t>Silt-Sandston</t>
  </si>
  <si>
    <t>Sand-Sandston</t>
  </si>
  <si>
    <t>Clay-Dolomite</t>
  </si>
  <si>
    <t>Clay-Basalt</t>
  </si>
  <si>
    <t>Clay-Flint/Chert</t>
  </si>
  <si>
    <t>Clay-Bitumen</t>
  </si>
  <si>
    <t>Silt-Marl</t>
  </si>
  <si>
    <t>Silt-Chalk</t>
  </si>
  <si>
    <t>Silt-Dolomite</t>
  </si>
  <si>
    <t>Silt-Basalt</t>
  </si>
  <si>
    <t>Silt-Shales</t>
  </si>
  <si>
    <t>Silt-Flint/Chert</t>
  </si>
  <si>
    <t>Silt-Bitumen</t>
  </si>
  <si>
    <t>Sand-Dolomite</t>
  </si>
  <si>
    <t>Sand-Basalt</t>
  </si>
  <si>
    <t>Sand-Shales</t>
  </si>
  <si>
    <t>Sand-Flint/Chert</t>
  </si>
  <si>
    <t>Sand-Bitumen</t>
  </si>
  <si>
    <t>Sandston-Limeston</t>
  </si>
  <si>
    <t>Sandston-Dolomite</t>
  </si>
  <si>
    <t>Sandston-Basalt</t>
  </si>
  <si>
    <t>Sandston-Flint/Chert</t>
  </si>
  <si>
    <t>Sandston-Bitumen</t>
  </si>
  <si>
    <t>Pebble/Conglomerate-Clay</t>
  </si>
  <si>
    <t>Pebble/Conglomerate-Silt</t>
  </si>
  <si>
    <t>Pebble/Conglomerate-Chalk</t>
  </si>
  <si>
    <t>Pebble/Conglomerate-Dolomite</t>
  </si>
  <si>
    <t>Pebble/Conglomerate-Basalt</t>
  </si>
  <si>
    <t>Pebble/Conglomerate-Shales</t>
  </si>
  <si>
    <t>Pebble/Conglomerate-Flint/Chert</t>
  </si>
  <si>
    <t>Pebble/Conglomerate-Bitumen</t>
  </si>
  <si>
    <t>Pebble/Conglomerate-Sandston</t>
  </si>
  <si>
    <t>Marl-Clay</t>
  </si>
  <si>
    <t>Marl-Silt</t>
  </si>
  <si>
    <t>Marl-Sandston</t>
  </si>
  <si>
    <t>Marl-Chalk</t>
  </si>
  <si>
    <t>Marl-Basalt</t>
  </si>
  <si>
    <t>Marl-Shales</t>
  </si>
  <si>
    <t>Marl-Flint/Chert</t>
  </si>
  <si>
    <t>Marl-Bitumen</t>
  </si>
  <si>
    <t>Chalk-Silt</t>
  </si>
  <si>
    <t>Chalk-Sand</t>
  </si>
  <si>
    <t>Chalk-Sandston</t>
  </si>
  <si>
    <t>Chalk-Basalt</t>
  </si>
  <si>
    <t>Chalk-Flint/Chert</t>
  </si>
  <si>
    <t>Limeston-Silt</t>
  </si>
  <si>
    <t>Limeston-Sand</t>
  </si>
  <si>
    <t>Limeston-Sandston</t>
  </si>
  <si>
    <t>Limeston-Basalt</t>
  </si>
  <si>
    <t>Dolomite-Silt</t>
  </si>
  <si>
    <t>Dolomite-Sand</t>
  </si>
  <si>
    <t>Dolomite-Sandston</t>
  </si>
  <si>
    <t>Dolomite-Pebble/Conglomerate</t>
  </si>
  <si>
    <t>Dolomite-Basalt</t>
  </si>
  <si>
    <t>Basalt-Silt</t>
  </si>
  <si>
    <t>Basalt-Sandston</t>
  </si>
  <si>
    <t>Basalt-Shales</t>
  </si>
  <si>
    <t>Basalt-Flint/Chert</t>
  </si>
  <si>
    <t>Basalt-Bitumen</t>
  </si>
  <si>
    <t>Basalt-Dolomite</t>
  </si>
  <si>
    <t>Basalt-Sand (Gromosoil)</t>
  </si>
  <si>
    <t>Basalt-Pebble/Conglomerate  (Scoria)</t>
  </si>
  <si>
    <t>Basalt-Cliff</t>
  </si>
  <si>
    <t>Cliff-Silt</t>
  </si>
  <si>
    <t>Cliff-Sandston</t>
  </si>
  <si>
    <t>Cliff-Marl</t>
  </si>
  <si>
    <t>Cliff-Chalk</t>
  </si>
  <si>
    <t>Cliff-Limeston</t>
  </si>
  <si>
    <t>Cliff-Dolomite</t>
  </si>
  <si>
    <t>Cliff-Flint/Chert</t>
  </si>
  <si>
    <t>Cliff-Bitumen</t>
  </si>
  <si>
    <t>Cliff-Clay</t>
  </si>
  <si>
    <t>Cliff-Sand</t>
  </si>
  <si>
    <t>Cliff-Pebble/Conglomerate</t>
  </si>
  <si>
    <t>11.10</t>
  </si>
  <si>
    <t>Cliff-Basalt</t>
  </si>
  <si>
    <t>12.10</t>
  </si>
  <si>
    <t>Shales-Clay</t>
  </si>
  <si>
    <t>Shales-Silt</t>
  </si>
  <si>
    <t>Shales-Sand</t>
  </si>
  <si>
    <t>Shales-Sandston</t>
  </si>
  <si>
    <t>Shales-Pebble/Conglomerate</t>
  </si>
  <si>
    <t>Shales-Marl</t>
  </si>
  <si>
    <t>Shales-Chalk</t>
  </si>
  <si>
    <t>Shales-Limeston</t>
  </si>
  <si>
    <t>Shales-Dolomite</t>
  </si>
  <si>
    <t>Shales-Basalt</t>
  </si>
  <si>
    <t>Shales-Flint/Chert</t>
  </si>
  <si>
    <t>Shales-Bitumen</t>
  </si>
  <si>
    <t>Shales-Cliff</t>
  </si>
  <si>
    <t>Flint/Chert-Clay</t>
  </si>
  <si>
    <t>Flint/Chert-Silt</t>
  </si>
  <si>
    <t>Flint/Chert-Sand</t>
  </si>
  <si>
    <t>Flint/Chert-Sandston</t>
  </si>
  <si>
    <t>Flint/Chert-Pebble/Conglomerate</t>
  </si>
  <si>
    <t>Flint/Chert-Marl</t>
  </si>
  <si>
    <t>Flint/Chert-Limeston</t>
  </si>
  <si>
    <t>Flint/Chert-Dolomite</t>
  </si>
  <si>
    <t>Flint/Chert-Basalt</t>
  </si>
  <si>
    <t>Flint/Chert-Cliff</t>
  </si>
  <si>
    <t>Flint/Chert-Bitumen</t>
  </si>
  <si>
    <t>13.10</t>
  </si>
  <si>
    <t>Flint/Chert-Shales</t>
  </si>
  <si>
    <t>Bitumen-Clay</t>
  </si>
  <si>
    <t>Bitumen-Silt</t>
  </si>
  <si>
    <t>Bitumen-Sand</t>
  </si>
  <si>
    <t>Bitumen-Sandston</t>
  </si>
  <si>
    <t>Bitumen-Pebble/Conglomerate</t>
  </si>
  <si>
    <t>Bitumen-Dolomite</t>
  </si>
  <si>
    <t>Bitumen-Basalt</t>
  </si>
  <si>
    <t>Bitumen-Cliff</t>
  </si>
  <si>
    <t>Bitumen-Shales</t>
  </si>
  <si>
    <t>14.10</t>
  </si>
  <si>
    <t>Bitumen-Flint/Chert</t>
  </si>
  <si>
    <t>Clay-Cliff</t>
  </si>
  <si>
    <t>1.10</t>
  </si>
  <si>
    <t>Silt-Cliff</t>
  </si>
  <si>
    <t>2.10</t>
  </si>
  <si>
    <t>3.10</t>
  </si>
  <si>
    <t>Sand-Cliff</t>
  </si>
  <si>
    <t>4.10</t>
  </si>
  <si>
    <t>Sandston-Cliff</t>
  </si>
  <si>
    <t>5.10</t>
  </si>
  <si>
    <t>Pebble/Conglomerate-Cliff</t>
  </si>
  <si>
    <t>6.10</t>
  </si>
  <si>
    <t>Marl-Cliff</t>
  </si>
  <si>
    <t>7.10</t>
  </si>
  <si>
    <t>Chalk-Cliff</t>
  </si>
  <si>
    <t>8.10</t>
  </si>
  <si>
    <t>9.10</t>
  </si>
  <si>
    <t>Riolit</t>
  </si>
  <si>
    <t>Porphyry</t>
  </si>
  <si>
    <t>Gabbro</t>
  </si>
  <si>
    <t>Diorite</t>
  </si>
  <si>
    <t>Granite</t>
  </si>
  <si>
    <t>Gneiss</t>
  </si>
  <si>
    <t>Schist</t>
  </si>
  <si>
    <t>Amphibolite</t>
  </si>
  <si>
    <t>Evaporites</t>
  </si>
  <si>
    <t>Evaporites-Clay</t>
  </si>
  <si>
    <t>Evaporites-Silt</t>
  </si>
  <si>
    <t>Evaporites-Sand</t>
  </si>
  <si>
    <t>Evaporites-Sandston</t>
  </si>
  <si>
    <t>Evaporites-Pebble/Conglomerate</t>
  </si>
  <si>
    <t>Evaporites-Marl</t>
  </si>
  <si>
    <t>Evaporites-Chalk</t>
  </si>
  <si>
    <t>Evaporites-Limeston</t>
  </si>
  <si>
    <t>Evaporites-Dolomite</t>
  </si>
  <si>
    <t>Evaporites-Basalt</t>
  </si>
  <si>
    <t>Evaporites-Cliff</t>
  </si>
  <si>
    <t>Evaporites-Shales</t>
  </si>
  <si>
    <t>Evaporites-Flint/Chert</t>
  </si>
  <si>
    <t>Clay-Evaporites</t>
  </si>
  <si>
    <t>Silt-Evaporites</t>
  </si>
  <si>
    <t>Sand-Evaporites</t>
  </si>
  <si>
    <t>Sandston-Evaporites</t>
  </si>
  <si>
    <t>Pebble/Conglomerate-Evaporites</t>
  </si>
  <si>
    <t>Marl-Evaporites</t>
  </si>
  <si>
    <t>Chalk-Evaporites</t>
  </si>
  <si>
    <t>Limeston-Evaporites</t>
  </si>
  <si>
    <t>Dolomite-Evaporites</t>
  </si>
  <si>
    <t>Basalt-Evaporites</t>
  </si>
  <si>
    <t>Cliff-Evaporites</t>
  </si>
  <si>
    <t>Shales-Evaporites</t>
  </si>
  <si>
    <t>Flint/Chert-Evaporites</t>
  </si>
  <si>
    <t>Bitumen-Evaporites</t>
  </si>
  <si>
    <t>15.10</t>
  </si>
  <si>
    <t>Granite-Riolit</t>
  </si>
  <si>
    <t>Porphyry-Riolit</t>
  </si>
  <si>
    <t>Gabbro-Riolit</t>
  </si>
  <si>
    <t>Diorite-Riolit</t>
  </si>
  <si>
    <t>Gneiss-Riolit</t>
  </si>
  <si>
    <t>Schist-Riolit</t>
  </si>
  <si>
    <t>Amphibolite-Riolit</t>
  </si>
  <si>
    <t>Riolit-Granite</t>
  </si>
  <si>
    <t>Porphyry-Granite</t>
  </si>
  <si>
    <t>Gabbro-Granite</t>
  </si>
  <si>
    <t>Diorite-Granite</t>
  </si>
  <si>
    <t>Schist-Granite</t>
  </si>
  <si>
    <t>Amphibolite-Granite</t>
  </si>
  <si>
    <t>Riolit-Porphyry</t>
  </si>
  <si>
    <t>Granite-Porphyry</t>
  </si>
  <si>
    <t>Gabbro-Porphyry</t>
  </si>
  <si>
    <t>Diorite-Porphyry</t>
  </si>
  <si>
    <t>Gneiss-Porphyry</t>
  </si>
  <si>
    <t>Schist-Porphyry</t>
  </si>
  <si>
    <t>Amphibolite-Porphyry</t>
  </si>
  <si>
    <t>Riolit-Gabbro</t>
  </si>
  <si>
    <t>Granite-Gabbro</t>
  </si>
  <si>
    <t>Porphyry-Gabbro</t>
  </si>
  <si>
    <t>Diorite-Gabbro</t>
  </si>
  <si>
    <t>Gneiss-Gabbro</t>
  </si>
  <si>
    <t>Schist-Gabbro</t>
  </si>
  <si>
    <t>Amphibolite-Gabbro</t>
  </si>
  <si>
    <t>Riolit-Diorite</t>
  </si>
  <si>
    <t>Granite-Diorite</t>
  </si>
  <si>
    <t>Porphyry-Diorite</t>
  </si>
  <si>
    <t>Gabbro-Diorite</t>
  </si>
  <si>
    <t>Gneiss-Diorite</t>
  </si>
  <si>
    <t>Schist-Diorite</t>
  </si>
  <si>
    <t>Amphibolite-Diorite</t>
  </si>
  <si>
    <t>Riolit-Gneiss</t>
  </si>
  <si>
    <t>Granite-Gneiss</t>
  </si>
  <si>
    <t>Porphyry-Gneiss</t>
  </si>
  <si>
    <t>Gabbro-Gneiss</t>
  </si>
  <si>
    <t>Diorite-Gneiss</t>
  </si>
  <si>
    <t>Gneiss-Gneiss</t>
  </si>
  <si>
    <t>Schist-Gneiss</t>
  </si>
  <si>
    <t>Amphibolite-Gneiss</t>
  </si>
  <si>
    <t>Riolit-Schist</t>
  </si>
  <si>
    <t>Granite-Schist</t>
  </si>
  <si>
    <t>Porphyry-Schist</t>
  </si>
  <si>
    <t>Gabbro-Schist</t>
  </si>
  <si>
    <t>Diorite-Schist</t>
  </si>
  <si>
    <t>Gneiss-Schist</t>
  </si>
  <si>
    <t>Amphibolite-Schist</t>
  </si>
  <si>
    <t>Riolit-Amphibolite</t>
  </si>
  <si>
    <t>Granite-Amphibolite</t>
  </si>
  <si>
    <t>Porphyry-Amphibolite</t>
  </si>
  <si>
    <t>Gabbro-Amphibolite</t>
  </si>
  <si>
    <t>Diorite-Amphibolite</t>
  </si>
  <si>
    <t>Gneiss-Amphibolite</t>
  </si>
  <si>
    <t>Schist-Amphibolite</t>
  </si>
  <si>
    <t>20.21</t>
  </si>
  <si>
    <t>20.22</t>
  </si>
  <si>
    <t>20.23</t>
  </si>
  <si>
    <t>20.24</t>
  </si>
  <si>
    <t>20.25</t>
  </si>
  <si>
    <t>20.26</t>
  </si>
  <si>
    <t>20.27</t>
  </si>
  <si>
    <t>21.20</t>
  </si>
  <si>
    <t>21.22</t>
  </si>
  <si>
    <t>21.23</t>
  </si>
  <si>
    <t>21.24</t>
  </si>
  <si>
    <t>21.25</t>
  </si>
  <si>
    <t>21.26</t>
  </si>
  <si>
    <t>21.27</t>
  </si>
  <si>
    <t>22.20</t>
  </si>
  <si>
    <t>22.21</t>
  </si>
  <si>
    <t>22.23</t>
  </si>
  <si>
    <t>22.24</t>
  </si>
  <si>
    <t>22.25</t>
  </si>
  <si>
    <t>22.26</t>
  </si>
  <si>
    <t>22.27</t>
  </si>
  <si>
    <t>23.20</t>
  </si>
  <si>
    <t>23.21</t>
  </si>
  <si>
    <t>23.22</t>
  </si>
  <si>
    <t>23.24</t>
  </si>
  <si>
    <t>23.25</t>
  </si>
  <si>
    <t>23.26</t>
  </si>
  <si>
    <t>23.27</t>
  </si>
  <si>
    <t>24.20</t>
  </si>
  <si>
    <t>24.21</t>
  </si>
  <si>
    <t>24.22</t>
  </si>
  <si>
    <t>24.23</t>
  </si>
  <si>
    <t>24.25</t>
  </si>
  <si>
    <t>24.26</t>
  </si>
  <si>
    <t>24.27</t>
  </si>
  <si>
    <t>25.20</t>
  </si>
  <si>
    <t>25.22</t>
  </si>
  <si>
    <t>25.23</t>
  </si>
  <si>
    <t>25.24</t>
  </si>
  <si>
    <t>25.25</t>
  </si>
  <si>
    <t>25.26</t>
  </si>
  <si>
    <t>25.27</t>
  </si>
  <si>
    <t>26.20</t>
  </si>
  <si>
    <t>26.21</t>
  </si>
  <si>
    <t>26.22</t>
  </si>
  <si>
    <t>26.23</t>
  </si>
  <si>
    <t>26.24</t>
  </si>
  <si>
    <t>26.25</t>
  </si>
  <si>
    <t>26.27</t>
  </si>
  <si>
    <t>27.20</t>
  </si>
  <si>
    <t>27.21</t>
  </si>
  <si>
    <t>27.22</t>
  </si>
  <si>
    <t>27.23</t>
  </si>
  <si>
    <t>27.24</t>
  </si>
  <si>
    <t>27.25</t>
  </si>
  <si>
    <t>27.26</t>
  </si>
  <si>
    <t>Not Classified</t>
  </si>
  <si>
    <t>Paleogene</t>
  </si>
  <si>
    <t>Eon</t>
  </si>
  <si>
    <t>Era</t>
  </si>
  <si>
    <t>Epoch</t>
  </si>
  <si>
    <t>Phanerozoic</t>
  </si>
  <si>
    <t>Quaternary</t>
  </si>
  <si>
    <t>Holocene</t>
  </si>
  <si>
    <t>chrons: Subatlantic · Subboreal · Atlantic · Boreal · Preboreal</t>
  </si>
  <si>
    <t>0.0117[g]</t>
  </si>
  <si>
    <t>Pleistocene</t>
  </si>
  <si>
    <t>Late (locally Tarantian · Tyrrhenian · Eemian · Sangamonian)</t>
  </si>
  <si>
    <t>Middle (formerly Ionian)</t>
  </si>
  <si>
    <t>Calabrian</t>
  </si>
  <si>
    <t>1.8*</t>
  </si>
  <si>
    <t>Gelasian</t>
  </si>
  <si>
    <t>2.58*</t>
  </si>
  <si>
    <t>Neogene</t>
  </si>
  <si>
    <t>Pliocene</t>
  </si>
  <si>
    <t>Piacenzian</t>
  </si>
  <si>
    <t>3.6*</t>
  </si>
  <si>
    <t>Zanclean</t>
  </si>
  <si>
    <t>5.333*</t>
  </si>
  <si>
    <t>Miocene</t>
  </si>
  <si>
    <t>Messinian</t>
  </si>
  <si>
    <t>7.246*</t>
  </si>
  <si>
    <t>Tortonian</t>
  </si>
  <si>
    <t>11.63*</t>
  </si>
  <si>
    <t>Serravallian</t>
  </si>
  <si>
    <t>13.82*</t>
  </si>
  <si>
    <t>Langhian</t>
  </si>
  <si>
    <t>Burdigalian</t>
  </si>
  <si>
    <t>Aquitanian</t>
  </si>
  <si>
    <t>23.03*</t>
  </si>
  <si>
    <t>Oligocene</t>
  </si>
  <si>
    <t>Chattian</t>
  </si>
  <si>
    <t>Rupelian</t>
  </si>
  <si>
    <t>33.9*</t>
  </si>
  <si>
    <t>Eocene</t>
  </si>
  <si>
    <t>Priabonian</t>
  </si>
  <si>
    <t>Bartonian</t>
  </si>
  <si>
    <t>Lutetian</t>
  </si>
  <si>
    <t>47.8*</t>
  </si>
  <si>
    <t>Ypresian</t>
  </si>
  <si>
    <t>56*</t>
  </si>
  <si>
    <t>Paleocene</t>
  </si>
  <si>
    <t>Thanetian</t>
  </si>
  <si>
    <t>59.2*</t>
  </si>
  <si>
    <t>Selandian</t>
  </si>
  <si>
    <t>61.6*</t>
  </si>
  <si>
    <t>Danian</t>
  </si>
  <si>
    <t>66*</t>
  </si>
  <si>
    <t>Mesozoic</t>
  </si>
  <si>
    <t>Cretaceous</t>
  </si>
  <si>
    <t>Late</t>
  </si>
  <si>
    <t>72.1 ± 0.2*</t>
  </si>
  <si>
    <t>83.6 ± 0.2</t>
  </si>
  <si>
    <t>86.3 ± 0.5*</t>
  </si>
  <si>
    <t>89.8 ± 0.3</t>
  </si>
  <si>
    <t>93.9*</t>
  </si>
  <si>
    <t>Cenomanian</t>
  </si>
  <si>
    <t>100.5*</t>
  </si>
  <si>
    <t>Early</t>
  </si>
  <si>
    <t>Albian</t>
  </si>
  <si>
    <t>~113</t>
  </si>
  <si>
    <t>Aptian</t>
  </si>
  <si>
    <t>~125</t>
  </si>
  <si>
    <t>Barremian</t>
  </si>
  <si>
    <t>~129.4</t>
  </si>
  <si>
    <t>Hauterivian</t>
  </si>
  <si>
    <t>~132.9</t>
  </si>
  <si>
    <t>Valanginian</t>
  </si>
  <si>
    <t>~139.8</t>
  </si>
  <si>
    <t>Berriasian</t>
  </si>
  <si>
    <t>~145</t>
  </si>
  <si>
    <t>Jurassic</t>
  </si>
  <si>
    <t>Tithonian</t>
  </si>
  <si>
    <t>152.1 ± 0.9</t>
  </si>
  <si>
    <t>Kimmeridgian</t>
  </si>
  <si>
    <t>157.3 ± 1.0</t>
  </si>
  <si>
    <t>Oxfordian</t>
  </si>
  <si>
    <t>163.5 ± 1.0</t>
  </si>
  <si>
    <t>Middle</t>
  </si>
  <si>
    <t>Callovian</t>
  </si>
  <si>
    <t>166.1 ± 1.2</t>
  </si>
  <si>
    <t>Bathonian</t>
  </si>
  <si>
    <t>168.3 ± 1.3*</t>
  </si>
  <si>
    <t>Bajocian</t>
  </si>
  <si>
    <t>170.3 ± 1.4*</t>
  </si>
  <si>
    <t>Aalenian</t>
  </si>
  <si>
    <t>174.1 ± 1.0*</t>
  </si>
  <si>
    <t>Toarcian</t>
  </si>
  <si>
    <t>182.7 ± 0.7*</t>
  </si>
  <si>
    <t>Pliensbachian</t>
  </si>
  <si>
    <t>190.8 ± 1.0*</t>
  </si>
  <si>
    <t>Sinemurian</t>
  </si>
  <si>
    <t>199.3 ± 0.3*</t>
  </si>
  <si>
    <t>Hettangian</t>
  </si>
  <si>
    <t>201.3 ± 0.2*</t>
  </si>
  <si>
    <t>Triassic</t>
  </si>
  <si>
    <t>Rhaetian</t>
  </si>
  <si>
    <t>~208.5</t>
  </si>
  <si>
    <t>Norian</t>
  </si>
  <si>
    <t>~227</t>
  </si>
  <si>
    <t>Carnian</t>
  </si>
  <si>
    <t>~237*</t>
  </si>
  <si>
    <t>Ladinian</t>
  </si>
  <si>
    <t>~242*</t>
  </si>
  <si>
    <t>Anisian</t>
  </si>
  <si>
    <t>Olenekian</t>
  </si>
  <si>
    <t>Induan</t>
  </si>
  <si>
    <t>251.902 ± 0.06*</t>
  </si>
  <si>
    <t>Paleozoic</t>
  </si>
  <si>
    <t>Permian</t>
  </si>
  <si>
    <t>Lopingian</t>
  </si>
  <si>
    <t>Changhsingian</t>
  </si>
  <si>
    <t>254.14 ± 0.07*</t>
  </si>
  <si>
    <t>Wuchiapingian</t>
  </si>
  <si>
    <t>259.1 ± 0.4*</t>
  </si>
  <si>
    <t>Guadalupian</t>
  </si>
  <si>
    <t>Capitanian</t>
  </si>
  <si>
    <t>265.1 ± 0.4*</t>
  </si>
  <si>
    <t>Wordian</t>
  </si>
  <si>
    <t>268.8 ± 0.5*</t>
  </si>
  <si>
    <t>Roadian</t>
  </si>
  <si>
    <t>272.95 ± 0.5*</t>
  </si>
  <si>
    <t>Cisuralian</t>
  </si>
  <si>
    <t>Kungurian</t>
  </si>
  <si>
    <t>283.5 ± 0.6</t>
  </si>
  <si>
    <t>Artinskian</t>
  </si>
  <si>
    <t>290.1 ± 0.26</t>
  </si>
  <si>
    <t>Sakmarian</t>
  </si>
  <si>
    <t>295 ± 0.18</t>
  </si>
  <si>
    <t>Asselian</t>
  </si>
  <si>
    <t>298.9 ± 0.15*</t>
  </si>
  <si>
    <t>Carbon-</t>
  </si>
  <si>
    <t>iferous[h]</t>
  </si>
  <si>
    <t>Pennsylvanian</t>
  </si>
  <si>
    <t>Gzhelian</t>
  </si>
  <si>
    <t>303.7 ± 0.1</t>
  </si>
  <si>
    <t>Kasimovian</t>
  </si>
  <si>
    <t>307 ± 0.1</t>
  </si>
  <si>
    <t>Moscovian</t>
  </si>
  <si>
    <t>315.2 ± 0.2</t>
  </si>
  <si>
    <t>Bashkirian</t>
  </si>
  <si>
    <t>323.2 ± 0.4*</t>
  </si>
  <si>
    <t>Mississippian</t>
  </si>
  <si>
    <t>Serpukhovian</t>
  </si>
  <si>
    <t>330.9 ± 0.2</t>
  </si>
  <si>
    <t>Viséan</t>
  </si>
  <si>
    <t>346.7 ± 0.4*</t>
  </si>
  <si>
    <t>Tournaisian</t>
  </si>
  <si>
    <t>358.9 ± 0.4*</t>
  </si>
  <si>
    <t>Devonian</t>
  </si>
  <si>
    <t>Famennian</t>
  </si>
  <si>
    <t>372.2 ± 1.6*</t>
  </si>
  <si>
    <t>Frasnian</t>
  </si>
  <si>
    <t>382.7 ± 1.6*</t>
  </si>
  <si>
    <t>Givetian</t>
  </si>
  <si>
    <t>387.7 ± 0.8*</t>
  </si>
  <si>
    <t>Eifelian</t>
  </si>
  <si>
    <t>393.3 ± 1.2*</t>
  </si>
  <si>
    <t>Emsian</t>
  </si>
  <si>
    <t>407.6 ± 2.6*</t>
  </si>
  <si>
    <t>Pragian</t>
  </si>
  <si>
    <t>410.8 ± 2.8*</t>
  </si>
  <si>
    <t>Lochkovian</t>
  </si>
  <si>
    <t>419.2 ± 3.2*</t>
  </si>
  <si>
    <t>Silurian</t>
  </si>
  <si>
    <t>Pridoli</t>
  </si>
  <si>
    <t>423 ± 2.3*</t>
  </si>
  <si>
    <t>Ludlow</t>
  </si>
  <si>
    <t>Ludfordian</t>
  </si>
  <si>
    <t>425.6 ± 0.9*</t>
  </si>
  <si>
    <t>Gorstian</t>
  </si>
  <si>
    <t>427.4 ± 0.5*</t>
  </si>
  <si>
    <t>Wenlock</t>
  </si>
  <si>
    <t>Homerian</t>
  </si>
  <si>
    <t>430.5 ± 0.7*</t>
  </si>
  <si>
    <t>Sheinwoodian</t>
  </si>
  <si>
    <t>433.4 ± 0.8*</t>
  </si>
  <si>
    <t>Llandovery</t>
  </si>
  <si>
    <t>Telychian</t>
  </si>
  <si>
    <t>438.5 ± 1.1*</t>
  </si>
  <si>
    <t>Aeronian</t>
  </si>
  <si>
    <t>440.8 ± 1.2*</t>
  </si>
  <si>
    <t>Rhuddanian</t>
  </si>
  <si>
    <t>443.8 ± 1.5*</t>
  </si>
  <si>
    <t>Ordovician</t>
  </si>
  <si>
    <t>Hirnantian</t>
  </si>
  <si>
    <t>445.2 ± 1.4*</t>
  </si>
  <si>
    <t>Katian</t>
  </si>
  <si>
    <t>453 ± 0.7*</t>
  </si>
  <si>
    <t>Sandbian</t>
  </si>
  <si>
    <t>458.4 ± 0.9*</t>
  </si>
  <si>
    <t>Darriwilian</t>
  </si>
  <si>
    <t>467.3 ± 1.1*</t>
  </si>
  <si>
    <t>Dapingian</t>
  </si>
  <si>
    <t>470 ± 1.4*</t>
  </si>
  <si>
    <t>Floian</t>
  </si>
  <si>
    <t>(formerly Arenig)</t>
  </si>
  <si>
    <t>477.7 ± 1.4*</t>
  </si>
  <si>
    <t>Tremadocian</t>
  </si>
  <si>
    <t>485.4 ± 1.9*</t>
  </si>
  <si>
    <t>Cambrian</t>
  </si>
  <si>
    <t>Furongian</t>
  </si>
  <si>
    <t>Stage 10</t>
  </si>
  <si>
    <t>~489.5</t>
  </si>
  <si>
    <t>Jiangshanian</t>
  </si>
  <si>
    <t>~494*</t>
  </si>
  <si>
    <t>Paibian</t>
  </si>
  <si>
    <t>~497*</t>
  </si>
  <si>
    <t>Series 3</t>
  </si>
  <si>
    <t>Guzhangian</t>
  </si>
  <si>
    <t>~500.5*</t>
  </si>
  <si>
    <t>Drumian</t>
  </si>
  <si>
    <t>~504.5*</t>
  </si>
  <si>
    <t>Stage 5</t>
  </si>
  <si>
    <t>~509</t>
  </si>
  <si>
    <t>Series 2</t>
  </si>
  <si>
    <t>Stage 4</t>
  </si>
  <si>
    <t>~514</t>
  </si>
  <si>
    <t>Stage 3</t>
  </si>
  <si>
    <t>~521</t>
  </si>
  <si>
    <t>Terreneuvian</t>
  </si>
  <si>
    <t>Stage 2</t>
  </si>
  <si>
    <t>~529</t>
  </si>
  <si>
    <t>Fortunian</t>
  </si>
  <si>
    <t>~541 ± 1.0*</t>
  </si>
  <si>
    <t>Ediacaran</t>
  </si>
  <si>
    <t>Good fossils of the first multi-celled animals. Ediacaran biota flourish worldwide in seas. Simple trace fossils of possible worm-like Trichophycus, etc. First sponges and trilobitomorphs. Enigmatic forms include many soft-jellied creatures shaped like bags, disks, or quilts (like Dickinsonia). Taconic Orogeny in North America. Aravalli Range orogeny in Indian Subcontinent. Beginning of Petermann Orogeny on Australian continent. Beardmore Orogeny in Antarctica, 633–620 Ma.</t>
  </si>
  <si>
    <t>~635*</t>
  </si>
  <si>
    <t>Cryogenian</t>
  </si>
  <si>
    <t>Possible "Snowball Earth" period. Fossils still rare. Rodinia landmass begins to break up. Late Ruker / Nimrod Orogeny in Antarctica tapers off.</t>
  </si>
  <si>
    <t>~720[k]</t>
  </si>
  <si>
    <t>Tonian</t>
  </si>
  <si>
    <t>Rodinia supercontinent persists. Sveconorwegian orogeny ends. Trace fossils of simple multi-celled eukaryotes. First radiation of dinoflagellate-like acritarchs. Grenville Orogeny tapers off in North America. Pan-African orogeny in Africa. Lake Ruker / Nimrod Orogeny in Antarctica, 1,000 ± 150 Ma. Edmundian Orogeny (c. 920 – 850 Ma), Gascoyne Complex, Western Australia. Adelaide Geosyncline laid down on Australian continent, beginning of Adelaide Geosyncline (Delamerian Orogeny) in Australia.</t>
  </si>
  <si>
    <t>1000[k]</t>
  </si>
  <si>
    <t>Stenian</t>
  </si>
  <si>
    <t>Narrow highly metamorphic belts due to orogeny as Rodinia forms. Sveconorwegian orogeny starts. Late Ruker / Nimrod Orogeny in Antarctica possibly begins. Musgrave Orogeny (c. 1,080 Ma), Musgrave Block, Central Australia.</t>
  </si>
  <si>
    <t>1200[k]</t>
  </si>
  <si>
    <t>Ectasian</t>
  </si>
  <si>
    <t>Platform covers continue to expand. Green algae colonies in the seas. Grenville Orogeny in North America.</t>
  </si>
  <si>
    <t>1400[k]</t>
  </si>
  <si>
    <t>Calymmian</t>
  </si>
  <si>
    <t>Platform covers expand. Barramundi Orogeny, McArthur Basin, Northern Australia, and Isan Orogeny, c.1,600 Ma, Mount Isa Block, Queensland</t>
  </si>
  <si>
    <t>1600[k]</t>
  </si>
  <si>
    <t>Statherian</t>
  </si>
  <si>
    <t>First complex single-celled life: protists with nuclei. Columbia is the primordial supercontinent. Kimban Orogeny in Australian continent ends. Yapungku Orogeny on Yilgarn craton, in Western Australia. Mangaroon Orogeny, 1,680–1,620 Ma, on the Gascoyne Complex in Western Australia. Kararan Orogeny (1,650 Ma), Gawler Craton, South Australia.</t>
  </si>
  <si>
    <t>1800[k]</t>
  </si>
  <si>
    <t>Orosirian</t>
  </si>
  <si>
    <t>The atmosphere becomes oxygenic. Vredefort and Sudbury Basin asteroid impacts. Much orogeny. Penokean and Trans-Hudsonian Orogenies in North America. Early Ruker Orogeny in Antarctica, 2,000–1,700 Ma. Glenburgh Orogeny, Glenburgh Terrane, Australian continent c. 2,005–1,920 Ma. Kimban Orogeny, Gawler craton in Australian continent begins.</t>
  </si>
  <si>
    <t>2050[k]</t>
  </si>
  <si>
    <t>Rhyacian</t>
  </si>
  <si>
    <t>Bushveld Igneous Complex forms. Huronian glaciation.</t>
  </si>
  <si>
    <t>2300[k]</t>
  </si>
  <si>
    <t>Siderian</t>
  </si>
  <si>
    <t>Oxygen catastrophe: banded iron formations forms. Sleaford Orogeny on Australian continent, Gawler Craton 2,440–2,420 Ma.</t>
  </si>
  <si>
    <t>2500[k]</t>
  </si>
  <si>
    <t>Stabilization of most modern cratons; possible mantle overturn event. Insell Orogeny, 2,650 ± 150 Ma. Abitibi greenstone belt in present-day Ontario and Quebec begins to form, stabilizes by 2,600 Ma.</t>
  </si>
  <si>
    <t>2800[k]</t>
  </si>
  <si>
    <t>First stromatolites (probably colonial cyanobacteria). Oldest macrofossils. Humboldt Orogeny in Antarctica. Blake River Megacaldera Complex begins to form in present-day Ontario and Quebec, ends by roughly 2,696 Ma.</t>
  </si>
  <si>
    <t>3200[k]</t>
  </si>
  <si>
    <t>First known oxygen-producing bacteria. Oldest definitive microfossils. Oldest cratons on Earth (such as the Canadian Shield and the Pilbara Craton) may have formed during this period.[l] Rayner Orogeny in Antarctica.</t>
  </si>
  <si>
    <t>3600[k]</t>
  </si>
  <si>
    <t>Simple single-celled life (probably bacteria and archaea). Oldest probable microfossils. The first life forms and self-replicating RNA molecules evolve around 4,000 Ma, after the Late Heavy Bombardment ends on Earth. Napier Orogeny in Antarctica, 4,000 ± 200 Ma.</t>
  </si>
  <si>
    <t>~4000</t>
  </si>
  <si>
    <t>Indirect photosynthetic evidence (e.g., kerogen) of primordial life. This era overlaps the beginning of the Late Heavy Bombardment of the Inner Solar System, produced possibly by the planetary migration of Neptune into the Kuiper belt as a result of orbital resonances between Jupiter and Saturn. Oldest known rock (4,031 to 3,580 Ma).[30]</t>
  </si>
  <si>
    <t>4130[31]</t>
  </si>
  <si>
    <t>Possible first appearance of plate tectonics. This unit gets its name from the lunar geologic timescale when the Nectaris Basin and other greater lunar basins form by big impact events. Earliest evidence for life based on unusually high amounts of light isotopes of carbon, a common sign of life.</t>
  </si>
  <si>
    <t>4280[31]</t>
  </si>
  <si>
    <t>End of the Early Bombardment Phase. Oldest known mineral (Zircon, 4,404 ± 8 Ma). Asteroids and comets bring water to Earth.[32]</t>
  </si>
  <si>
    <t>4533[31]</t>
  </si>
  <si>
    <t>Formation of Moon (4,533 to 4,527 Ma), probably from giant impact, since the end of this era. Formation of Earth (4,570 to 4,567.17 Ma), Early Bombardment Phase begins. Formation of Sun (4,680 to 4,630 Ma) .</t>
  </si>
  <si>
    <t>Cenozoic</t>
  </si>
  <si>
    <t>Proterozoic</t>
  </si>
  <si>
    <t>Archean</t>
  </si>
  <si>
    <t>Hadean</t>
  </si>
  <si>
    <t>Neoproterozoic</t>
  </si>
  <si>
    <t>Mesoproterozoic</t>
  </si>
  <si>
    <t>Paleoproterozoic</t>
  </si>
  <si>
    <t>Neoarchean</t>
  </si>
  <si>
    <t>Mesoarchean</t>
  </si>
  <si>
    <t>Paleoarchean</t>
  </si>
  <si>
    <t>Eoarchean</t>
  </si>
  <si>
    <t>Early Imbrian (Neohadean) (unofficial)</t>
  </si>
  <si>
    <t>Nectarian (Mesohadean) (unofficial)</t>
  </si>
  <si>
    <t>Basin Groups (Paleohadean) (unofficial)</t>
  </si>
  <si>
    <t>Cryptic (Eohadean) (unofficial)</t>
  </si>
  <si>
    <t>Period</t>
  </si>
  <si>
    <t>Age</t>
  </si>
  <si>
    <t>Start, million years ago</t>
  </si>
  <si>
    <t>Turonian - upper</t>
  </si>
  <si>
    <t>Turonian - lower</t>
  </si>
  <si>
    <t>shd_id</t>
  </si>
  <si>
    <t>top_layer</t>
  </si>
  <si>
    <t>bot_layer</t>
  </si>
  <si>
    <t>Quaternary-Pleistocene-Late</t>
  </si>
  <si>
    <t>Quaternary-Pleistocene-Middle</t>
  </si>
  <si>
    <t>Quaternary-Pleistocene-Calabrian</t>
  </si>
  <si>
    <t>Quaternary-Pleistocene-Gelasian</t>
  </si>
  <si>
    <t>Neogene-Pliocene-Piacenzian</t>
  </si>
  <si>
    <t>Neogene-Pliocene-Zanclean</t>
  </si>
  <si>
    <t>Neogene-Miocene-Messinian</t>
  </si>
  <si>
    <t>Neogene-Miocene-Tortonian</t>
  </si>
  <si>
    <t>Neogene-Miocene-Serravallian</t>
  </si>
  <si>
    <t>Neogene-Miocene-Langhian</t>
  </si>
  <si>
    <t>Neogene-Miocene-Burdigalian</t>
  </si>
  <si>
    <t>Neogene-Miocene-Aquitanian</t>
  </si>
  <si>
    <t>Paleogene-Oligocene-Chattian</t>
  </si>
  <si>
    <t>Paleogene-Oligocene-Rupelian</t>
  </si>
  <si>
    <t>Paleogene-Eocene-Priabonian</t>
  </si>
  <si>
    <t>Paleogene-Eocene-Bartonian</t>
  </si>
  <si>
    <t>Paleogene-Eocene-Lutetian</t>
  </si>
  <si>
    <t>Paleogene-Eocene-Ypresian</t>
  </si>
  <si>
    <t>Paleogene-Paleocene-Thanetian</t>
  </si>
  <si>
    <t>Paleogene-Paleocene-Selandian</t>
  </si>
  <si>
    <t>Paleogene-Paleocene-Danian</t>
  </si>
  <si>
    <t>Cretaceous-Late-Turonian - upper</t>
  </si>
  <si>
    <t>Cretaceous-Late-Turonian - lower</t>
  </si>
  <si>
    <t>Cretaceous-Late-Cenomanian</t>
  </si>
  <si>
    <t>Cretaceous-Early-Albian</t>
  </si>
  <si>
    <t>Cretaceous-Early-Aptian</t>
  </si>
  <si>
    <t>Cretaceous-Early-Barremian</t>
  </si>
  <si>
    <t>Cretaceous-Early-Hauterivian</t>
  </si>
  <si>
    <t>Cretaceous-Early-Valanginian</t>
  </si>
  <si>
    <t>Cretaceous-Early-Berriasian</t>
  </si>
  <si>
    <t>Jurassic-Late-Tithonian</t>
  </si>
  <si>
    <t>Jurassic-Late-Kimmeridgian</t>
  </si>
  <si>
    <t>Jurassic-Late-Oxfordian</t>
  </si>
  <si>
    <t>Jurassic-Middle-Callovian</t>
  </si>
  <si>
    <t>Jurassic-Middle-Bathonian</t>
  </si>
  <si>
    <t>Jurassic-Middle-Bajocian</t>
  </si>
  <si>
    <t>Jurassic-Middle-Aalenian</t>
  </si>
  <si>
    <t>Jurassic-Early-Toarcian</t>
  </si>
  <si>
    <t>Jurassic-Early-Pliensbachian</t>
  </si>
  <si>
    <t>Jurassic-Early-Sinemurian</t>
  </si>
  <si>
    <t>Jurassic-Early-Hettangian</t>
  </si>
  <si>
    <t>Triassic-Late-Rhaetian</t>
  </si>
  <si>
    <t>Triassic-Late-Norian</t>
  </si>
  <si>
    <t>Triassic-Late-Carnian</t>
  </si>
  <si>
    <t>Triassic-Middle-Ladinian</t>
  </si>
  <si>
    <t>Triassic-Middle-Anisian</t>
  </si>
  <si>
    <t>Triassic-Early-Olenekian</t>
  </si>
  <si>
    <t>Triassic-Early-Induan</t>
  </si>
  <si>
    <t>Permian-Lopingian-Changhsingian</t>
  </si>
  <si>
    <t>Permian-Lopingian-Wuchiapingian</t>
  </si>
  <si>
    <t>Permian-Guadalupian-Capitanian</t>
  </si>
  <si>
    <t>Permian-Guadalupian-Wordian</t>
  </si>
  <si>
    <t>Permian-Guadalupian-Roadian</t>
  </si>
  <si>
    <t>Permian-Cisuralian-Kungurian</t>
  </si>
  <si>
    <t>Permian-Cisuralian-Artinskian</t>
  </si>
  <si>
    <t>Permian-Cisuralian-Sakmarian</t>
  </si>
  <si>
    <t>Permian-Cisuralian-Asselian</t>
  </si>
  <si>
    <t>Devonian-Late-Famennian</t>
  </si>
  <si>
    <t>Devonian-Late-Frasnian</t>
  </si>
  <si>
    <t>Devonian-Middle-Givetian</t>
  </si>
  <si>
    <t>Devonian-Middle-Eifelian</t>
  </si>
  <si>
    <t>Devonian-Early-Emsian</t>
  </si>
  <si>
    <t>Devonian-Early-Pragian</t>
  </si>
  <si>
    <t>Devonian-Early-Lochkovian</t>
  </si>
  <si>
    <t>Silurian-Ludlow-Ludfordian</t>
  </si>
  <si>
    <t>Silurian-Ludlow-Gorstian</t>
  </si>
  <si>
    <t>Silurian-Wenlock-Homerian</t>
  </si>
  <si>
    <t>Silurian-Wenlock-Sheinwoodian</t>
  </si>
  <si>
    <t>Silurian-Llandovery-Telychian</t>
  </si>
  <si>
    <t>Silurian-Llandovery-Aeronian</t>
  </si>
  <si>
    <t>Silurian-Llandovery-Rhuddanian</t>
  </si>
  <si>
    <t>Ordovician-Late-Hirnantian</t>
  </si>
  <si>
    <t>Ordovician-Late-Katian</t>
  </si>
  <si>
    <t>Ordovician-Late-Sandbian</t>
  </si>
  <si>
    <t>Ordovician-Middle-Darriwilian</t>
  </si>
  <si>
    <t>Ordovician-Middle-Dapingian</t>
  </si>
  <si>
    <t>Ordovician-Early-Floian</t>
  </si>
  <si>
    <t>Ordovician-Early-(formerly Arenig)</t>
  </si>
  <si>
    <t>Ordovician-Early-Tremadocian</t>
  </si>
  <si>
    <t>Cambrian-Furongian-Stage 10</t>
  </si>
  <si>
    <t>Cambrian-Furongian-Jiangshanian</t>
  </si>
  <si>
    <t>Cambrian-Furongian-Paibian</t>
  </si>
  <si>
    <t>Cambrian-Series 3-Guzhangian</t>
  </si>
  <si>
    <t>Cambrian-Series 3-Drumian</t>
  </si>
  <si>
    <t>Cambrian-Series 3-Stage 5</t>
  </si>
  <si>
    <t>Cambrian-Series 2-Stage 4</t>
  </si>
  <si>
    <t>Cambrian-Series 2-Stage 3</t>
  </si>
  <si>
    <t>Cambrian-Terreneuvian-Stage 2</t>
  </si>
  <si>
    <t>Cambrian-Terreneuvian-Fortunian</t>
  </si>
  <si>
    <t>Quaternary-Holocene</t>
  </si>
  <si>
    <t>Quaternary-Pleistocene</t>
  </si>
  <si>
    <t>Neogene-Pliocene</t>
  </si>
  <si>
    <t>Neogene-Miocene</t>
  </si>
  <si>
    <t>Paleogene-Eocene</t>
  </si>
  <si>
    <t>Paleogene-Paleocene</t>
  </si>
  <si>
    <t>Cretaceous-Early</t>
  </si>
  <si>
    <t>Jurassic-Middle</t>
  </si>
  <si>
    <t>Jurassic-Early</t>
  </si>
  <si>
    <t>Triassic-Middle</t>
  </si>
  <si>
    <t>Triassic-Early</t>
  </si>
  <si>
    <t>Permian-Guadalupian</t>
  </si>
  <si>
    <t>Permian-Cisuralian</t>
  </si>
  <si>
    <t>Devonian-Middle</t>
  </si>
  <si>
    <t>Devonian-Early</t>
  </si>
  <si>
    <t>Silurian-Ludlow</t>
  </si>
  <si>
    <t>Silurian-Wenlock</t>
  </si>
  <si>
    <t>Silurian-Llandovery</t>
  </si>
  <si>
    <t>Ordovician-Middle</t>
  </si>
  <si>
    <t>Ordovician-Early</t>
  </si>
  <si>
    <t>Cambrian-Series 3</t>
  </si>
  <si>
    <t>Cambrian-Series 2</t>
  </si>
  <si>
    <t>Cambrian-Terreneuvian</t>
  </si>
  <si>
    <t>Carbon</t>
  </si>
  <si>
    <t>Carbon-Pennsylvanian-Gzhelian</t>
  </si>
  <si>
    <t>Paleogene-Oligocene</t>
  </si>
  <si>
    <t>Jurassic-Late</t>
  </si>
  <si>
    <t>Triassic-Late</t>
  </si>
  <si>
    <t>Permian-Lopingian</t>
  </si>
  <si>
    <t>Carbon-Pennsylvanian</t>
  </si>
  <si>
    <t>Devonian-Late</t>
  </si>
  <si>
    <t>Ordovician-Late</t>
  </si>
  <si>
    <t>Cambrian-Furongian</t>
  </si>
  <si>
    <t>Silurian-Pridoli</t>
  </si>
  <si>
    <t>Precambrian</t>
  </si>
  <si>
    <t>Precambrian-Proteozoic</t>
  </si>
  <si>
    <t>Precambrian-Archean</t>
  </si>
  <si>
    <t>Precambrian-Hadean</t>
  </si>
  <si>
    <t>Carbon-Pennsylvanian-Kasimovian</t>
  </si>
  <si>
    <t>Carbon-Pennsylvanian-Moscovian</t>
  </si>
  <si>
    <t>Carbon-Pennsylvanian-Bashkirian</t>
  </si>
  <si>
    <t>Carbon-Mississippian</t>
  </si>
  <si>
    <t>Carbon-Mississippian-Serpukhovian</t>
  </si>
  <si>
    <t>Carbon-Mississippian-Tournaisian</t>
  </si>
  <si>
    <t>1_</t>
  </si>
  <si>
    <t>1_1_</t>
  </si>
  <si>
    <t>1_2</t>
  </si>
  <si>
    <t>1_2_1</t>
  </si>
  <si>
    <t>1_2_2</t>
  </si>
  <si>
    <t>1_2_3</t>
  </si>
  <si>
    <t>1_2_4</t>
  </si>
  <si>
    <t>2_</t>
  </si>
  <si>
    <t>2_1</t>
  </si>
  <si>
    <t>2_1_1</t>
  </si>
  <si>
    <t>2_1_2</t>
  </si>
  <si>
    <t>2_2</t>
  </si>
  <si>
    <t>2_2_1</t>
  </si>
  <si>
    <t>2_2_2</t>
  </si>
  <si>
    <t>2_2_3</t>
  </si>
  <si>
    <t>2_2_4</t>
  </si>
  <si>
    <t>2_2_5</t>
  </si>
  <si>
    <t>2_2_6</t>
  </si>
  <si>
    <t>3_</t>
  </si>
  <si>
    <t>3_1</t>
  </si>
  <si>
    <t>3_1_1</t>
  </si>
  <si>
    <t>3_1_2</t>
  </si>
  <si>
    <t>3_2</t>
  </si>
  <si>
    <t>3_2_1</t>
  </si>
  <si>
    <t>3_2_2</t>
  </si>
  <si>
    <t>3_2_3</t>
  </si>
  <si>
    <t>3_2_4</t>
  </si>
  <si>
    <t>3_3</t>
  </si>
  <si>
    <t>3_3_1</t>
  </si>
  <si>
    <t>3_3_2</t>
  </si>
  <si>
    <t>3_3_3</t>
  </si>
  <si>
    <t>4_</t>
  </si>
  <si>
    <t>4_1</t>
  </si>
  <si>
    <t>4_1_1</t>
  </si>
  <si>
    <t>4_1_2</t>
  </si>
  <si>
    <t>4_1_3</t>
  </si>
  <si>
    <t>4_1_4</t>
  </si>
  <si>
    <t>4_2</t>
  </si>
  <si>
    <t>4_2_1</t>
  </si>
  <si>
    <t>4_2_2</t>
  </si>
  <si>
    <t>4_2_3</t>
  </si>
  <si>
    <t>5_</t>
  </si>
  <si>
    <t>5_1</t>
  </si>
  <si>
    <t>5_1_1</t>
  </si>
  <si>
    <t>5_1_2</t>
  </si>
  <si>
    <t>5_1_3</t>
  </si>
  <si>
    <t>5_2</t>
  </si>
  <si>
    <t>5_2_1</t>
  </si>
  <si>
    <t>5_2_2</t>
  </si>
  <si>
    <t>5_2_3</t>
  </si>
  <si>
    <t>5_2_4</t>
  </si>
  <si>
    <t>5_3</t>
  </si>
  <si>
    <t>5_3_1</t>
  </si>
  <si>
    <t>5_3_2</t>
  </si>
  <si>
    <t>5_3_3</t>
  </si>
  <si>
    <t>5_3_4</t>
  </si>
  <si>
    <t>6_</t>
  </si>
  <si>
    <t>6_1</t>
  </si>
  <si>
    <t>6_1_1</t>
  </si>
  <si>
    <t>6_1_2</t>
  </si>
  <si>
    <t>6_1_3</t>
  </si>
  <si>
    <t>6_2</t>
  </si>
  <si>
    <t>6_2_1</t>
  </si>
  <si>
    <t>6_2_2</t>
  </si>
  <si>
    <t>6_3</t>
  </si>
  <si>
    <t>6_3_1</t>
  </si>
  <si>
    <t>6_3_2</t>
  </si>
  <si>
    <t>7_</t>
  </si>
  <si>
    <t>7_1</t>
  </si>
  <si>
    <t>7_1_1</t>
  </si>
  <si>
    <t>7_1_2</t>
  </si>
  <si>
    <t>7_2</t>
  </si>
  <si>
    <t>7_2_1</t>
  </si>
  <si>
    <t>7_2_2</t>
  </si>
  <si>
    <t>7_2_3</t>
  </si>
  <si>
    <t>7_3</t>
  </si>
  <si>
    <t>7_3_1</t>
  </si>
  <si>
    <t>7_3_2</t>
  </si>
  <si>
    <t>7_3_3</t>
  </si>
  <si>
    <t>7_3_4</t>
  </si>
  <si>
    <t>8_</t>
  </si>
  <si>
    <t>8_1</t>
  </si>
  <si>
    <t>8_1_1</t>
  </si>
  <si>
    <t>8_1_2</t>
  </si>
  <si>
    <t>8_1_3</t>
  </si>
  <si>
    <t>8_1_4</t>
  </si>
  <si>
    <t>8_2</t>
  </si>
  <si>
    <t>8_2_1</t>
  </si>
  <si>
    <t>8_2_2</t>
  </si>
  <si>
    <t>8_2_3</t>
  </si>
  <si>
    <t>9_</t>
  </si>
  <si>
    <t>9_1</t>
  </si>
  <si>
    <t>9_1_1</t>
  </si>
  <si>
    <t>9_1_2</t>
  </si>
  <si>
    <t>9_2</t>
  </si>
  <si>
    <t>9_2_1</t>
  </si>
  <si>
    <t>9_2_2</t>
  </si>
  <si>
    <t>9_3</t>
  </si>
  <si>
    <t>9_3_1</t>
  </si>
  <si>
    <t>9_3_2</t>
  </si>
  <si>
    <t>9_3_3</t>
  </si>
  <si>
    <t>10_</t>
  </si>
  <si>
    <t>10_1_</t>
  </si>
  <si>
    <t>10_2</t>
  </si>
  <si>
    <t>10_2_1</t>
  </si>
  <si>
    <t>10_2_2</t>
  </si>
  <si>
    <t>10_3</t>
  </si>
  <si>
    <t>10_3_1</t>
  </si>
  <si>
    <t>10_3_2</t>
  </si>
  <si>
    <t>10_4</t>
  </si>
  <si>
    <t>10_4_1</t>
  </si>
  <si>
    <t>10_4_2</t>
  </si>
  <si>
    <t>10_4_3</t>
  </si>
  <si>
    <t>11_</t>
  </si>
  <si>
    <t>11_1</t>
  </si>
  <si>
    <t>11_1_1</t>
  </si>
  <si>
    <t>11_1_2</t>
  </si>
  <si>
    <t>11_1_</t>
  </si>
  <si>
    <t>11_2</t>
  </si>
  <si>
    <t>11_2_1</t>
  </si>
  <si>
    <t>11_2_2</t>
  </si>
  <si>
    <t>11_3</t>
  </si>
  <si>
    <t>11_3_1</t>
  </si>
  <si>
    <t>11_3_2</t>
  </si>
  <si>
    <t>11_3_3</t>
  </si>
  <si>
    <t>12_</t>
  </si>
  <si>
    <t>12_1</t>
  </si>
  <si>
    <t>12_1_1</t>
  </si>
  <si>
    <t>12_1_2</t>
  </si>
  <si>
    <t>12_1_3</t>
  </si>
  <si>
    <t>12_2</t>
  </si>
  <si>
    <t>12_2_1</t>
  </si>
  <si>
    <t>12_2_2</t>
  </si>
  <si>
    <t>12_2_3</t>
  </si>
  <si>
    <t>12_3</t>
  </si>
  <si>
    <t>12_3_1</t>
  </si>
  <si>
    <t>12_3_2</t>
  </si>
  <si>
    <t>12_4</t>
  </si>
  <si>
    <t>12_4_1</t>
  </si>
  <si>
    <t>12_4_2</t>
  </si>
  <si>
    <t>13_</t>
  </si>
  <si>
    <t>13_1</t>
  </si>
  <si>
    <t>13_2</t>
  </si>
  <si>
    <t>13_3</t>
  </si>
  <si>
    <t>Paleontology</t>
  </si>
  <si>
    <t>Senonian-Coniacian</t>
  </si>
  <si>
    <t>Senonian-Santonian</t>
  </si>
  <si>
    <t>Senonian-Campanian</t>
  </si>
  <si>
    <t>Senonian-Maastrichtian</t>
  </si>
  <si>
    <t>Cretaceous-Late-Senonian-Coniacian</t>
  </si>
  <si>
    <t>Cretaceous-Late-Senonian-Santonian</t>
  </si>
  <si>
    <t>Cretaceous-Late-Senonian-Campanian</t>
  </si>
  <si>
    <t>Cretaceous-Late-Senonian-Maastrichtian</t>
  </si>
  <si>
    <t>Cretaceous-Late-Senonian</t>
  </si>
  <si>
    <t>Cretaceous-Late-Turonian</t>
  </si>
  <si>
    <t>4_3_1</t>
  </si>
  <si>
    <t>4_3_2</t>
  </si>
  <si>
    <t>4_3_3</t>
  </si>
  <si>
    <t>4_3_4</t>
  </si>
  <si>
    <t>4_3_5</t>
  </si>
  <si>
    <t>4_3_6</t>
  </si>
  <si>
    <t>4_3</t>
  </si>
  <si>
    <t>Yirka</t>
  </si>
  <si>
    <t>5.3.0</t>
  </si>
  <si>
    <t>5.3.1.3</t>
  </si>
  <si>
    <t>Yanuh</t>
  </si>
  <si>
    <t>Carbon-Mississippian-Visean</t>
  </si>
  <si>
    <t>#FF8000</t>
  </si>
  <si>
    <t>Banas/Tiasser Basalt</t>
  </si>
  <si>
    <t>Colour_Expreation_list</t>
  </si>
  <si>
    <t>Kurkar_Base_A</t>
  </si>
  <si>
    <t>Kurkar_Base_B</t>
  </si>
  <si>
    <t>Kurkar_Base_C</t>
  </si>
  <si>
    <t>Kurkar_top_B</t>
  </si>
  <si>
    <t>Kurkar_top_C</t>
  </si>
  <si>
    <t>Kurkar_top_D</t>
  </si>
  <si>
    <t>Saqia_Base</t>
  </si>
  <si>
    <t>Bina_Top</t>
  </si>
  <si>
    <t>Taqia_Top</t>
  </si>
  <si>
    <t>Arad_Top</t>
  </si>
  <si>
    <t>Arava_Judea_Top</t>
  </si>
  <si>
    <t>Dargot_Top</t>
  </si>
  <si>
    <t>LC3_Top</t>
  </si>
  <si>
    <t>Malhata_Top</t>
  </si>
  <si>
    <t>Uza_Top</t>
  </si>
  <si>
    <t>Zeweria-L_Top</t>
  </si>
  <si>
    <t>Zeweria-U_Top</t>
  </si>
  <si>
    <t>Moza_Top</t>
  </si>
  <si>
    <t>Moza-local1_Top</t>
  </si>
  <si>
    <t>Moza-local2_Top</t>
  </si>
  <si>
    <t>Yagur_Top</t>
  </si>
  <si>
    <t>Yakeni_Top</t>
  </si>
  <si>
    <t>Judea_top</t>
  </si>
  <si>
    <t>Saltwater_Aquifer_Top</t>
  </si>
  <si>
    <t>#E11E5E</t>
  </si>
  <si>
    <t>#3C7DC4</t>
  </si>
  <si>
    <t>#FF0400</t>
  </si>
  <si>
    <t>#9B8465</t>
  </si>
  <si>
    <t>#AF8451</t>
  </si>
  <si>
    <t>#F5B6B0</t>
  </si>
  <si>
    <t>#D79829</t>
  </si>
  <si>
    <t>#A57A5B</t>
  </si>
  <si>
    <t>#B97A47</t>
  </si>
  <si>
    <t>#B43130</t>
  </si>
  <si>
    <t>#C9B86A</t>
  </si>
  <si>
    <t>#F6CE78</t>
  </si>
  <si>
    <t>Kurkar_Base_A = "#F6CE78"</t>
  </si>
  <si>
    <t>Kurkar_Base_B = "#C9B86A"</t>
  </si>
  <si>
    <t>Kurkar_Base_C = "#FF8000"</t>
  </si>
  <si>
    <t>Kurkar_top_B = "#C9B86A"</t>
  </si>
  <si>
    <t>Kurkar_top_C = "#FF8000"</t>
  </si>
  <si>
    <t>Kurkar_top_D = "#B43130"</t>
  </si>
  <si>
    <t>Saqia_Base = "#B43130"</t>
  </si>
  <si>
    <t>Taqia_Top = "#B43130"</t>
  </si>
  <si>
    <t>Arad_Top = "#3C7DC4"</t>
  </si>
  <si>
    <t>Dargot_Top = "#B97A47"</t>
  </si>
  <si>
    <t>LC3_Top = "#A57A5B"</t>
  </si>
  <si>
    <t>Malhata_Top = "#D79829"</t>
  </si>
  <si>
    <t>Uza_Top = "#F5B6B0"</t>
  </si>
  <si>
    <t>Moza_Top = "#FF0400"</t>
  </si>
  <si>
    <t>Yagur_Top = "#0B0500"</t>
  </si>
  <si>
    <t>Yakeni_Top = "#C864A0"</t>
  </si>
  <si>
    <t>Saltwater_Aquifer_Top = "#E11E5E"</t>
  </si>
  <si>
    <t>DTM= "#000000"</t>
  </si>
  <si>
    <t>Zeweria_L_Top = "#AF8451"</t>
  </si>
  <si>
    <t>Zeweria_U_Top = "#9B8465"</t>
  </si>
  <si>
    <t>Moza_local1_Top = "#FF0400"</t>
  </si>
  <si>
    <t>Moza_local2_Top = "#FF0400"</t>
  </si>
  <si>
    <t>#3DE00A</t>
  </si>
  <si>
    <t>Judea_top = "#3DE00A"</t>
  </si>
  <si>
    <t>Bina_Top = "#3DE00A"</t>
  </si>
  <si>
    <t>Arava_Judea_Top = "#3DE00A"</t>
  </si>
  <si>
    <t>Arava_Judea_Base</t>
  </si>
  <si>
    <t>#299C05</t>
  </si>
  <si>
    <t>Arava_Judea_Base = "#299C05"</t>
  </si>
  <si>
    <t>Arkan_Zichron_Top</t>
  </si>
  <si>
    <t>Avedat_Top</t>
  </si>
  <si>
    <t>Kurnub_Top</t>
  </si>
  <si>
    <t>Mt_Scopus_Top</t>
  </si>
  <si>
    <t>Pleistocene_Top</t>
  </si>
  <si>
    <t>Saqia_Top</t>
  </si>
  <si>
    <t>Basalt_Base</t>
  </si>
  <si>
    <t>Beer_Sheva_HalouzaP1_Base</t>
  </si>
  <si>
    <t>Beer_Sheva_HalouzaP1_Top</t>
  </si>
  <si>
    <t>Beer_Sheva_HalouzaP2_Base</t>
  </si>
  <si>
    <t>Beer_Sheva_HalouzaP2_Top</t>
  </si>
  <si>
    <t>Egl_Base</t>
  </si>
  <si>
    <t>Egl_Top</t>
  </si>
  <si>
    <t>HermonP1_Base</t>
  </si>
  <si>
    <t>HermonP1_Top</t>
  </si>
  <si>
    <t>HermonP2_Base</t>
  </si>
  <si>
    <t>HermonP2_Top</t>
  </si>
  <si>
    <t>HermonP3_Top</t>
  </si>
  <si>
    <t>IntL2_Base</t>
  </si>
  <si>
    <t>IntL2_Top</t>
  </si>
  <si>
    <t>JudeaP1_Base</t>
  </si>
  <si>
    <t>JudeaP1_Top</t>
  </si>
  <si>
    <t>JudeaP2_Base</t>
  </si>
  <si>
    <t>JudeaP2_Top</t>
  </si>
  <si>
    <t>JudeaP3_Base</t>
  </si>
  <si>
    <t>JudeaP3_Top</t>
  </si>
  <si>
    <t>Kidud_Base</t>
  </si>
  <si>
    <t>Kidud_Top</t>
  </si>
  <si>
    <t>Miloi2AradL1_Base</t>
  </si>
  <si>
    <t>Miloi2AradL1_Top</t>
  </si>
  <si>
    <t>Miloi_Base</t>
  </si>
  <si>
    <t>Sabha_Yutvata_Base</t>
  </si>
  <si>
    <t>#E00AA8</t>
  </si>
  <si>
    <t>#F5F312</t>
  </si>
  <si>
    <t>#F528C0</t>
  </si>
  <si>
    <t>Arkan_Zichron_Top = "#9B8465",</t>
  </si>
  <si>
    <t>Avedat_Top = "#F6CE78",</t>
  </si>
  <si>
    <t>Bina_Top = "#3DE00A",</t>
  </si>
  <si>
    <t>Kurnub_Top = "#F5B6B0",</t>
  </si>
  <si>
    <t>Mt_Scopus_Top = "#FF8000",</t>
  </si>
  <si>
    <t>Pleistocene_Top = "#C9B86A",</t>
  </si>
  <si>
    <t>Saqia_Top = "#B43130",</t>
  </si>
  <si>
    <t>Yagur_Top = "#3DE00A",</t>
  </si>
  <si>
    <t>Basalt_Base = "#E00AA8",</t>
  </si>
  <si>
    <t>Beer_Sheva_HalouzaP1_Base = "#E11E5E",</t>
  </si>
  <si>
    <t>Beer_Sheva_HalouzaP1_Top = "#E11E5E",</t>
  </si>
  <si>
    <t>Beer_Sheva_HalouzaP2_Base = "#E11E5E",</t>
  </si>
  <si>
    <t>Beer_Sheva_HalouzaP2_Top = "#E11E5E",</t>
  </si>
  <si>
    <t>Egl_Base = "#F5F312",</t>
  </si>
  <si>
    <t>Egl_Top = "#F5F312",</t>
  </si>
  <si>
    <t>HermonP1_Base = "#3C7DC4",</t>
  </si>
  <si>
    <t>HermonP1_Top = "#3C7DC4",</t>
  </si>
  <si>
    <t>HermonP2_Base = "#3C7DC4",</t>
  </si>
  <si>
    <t>HermonP2_Top = "#3C7DC4",</t>
  </si>
  <si>
    <t>HermonP3_Top = "#3C7DC4",</t>
  </si>
  <si>
    <t>IntL2_Base = "#F6CE78",</t>
  </si>
  <si>
    <t>IntL2_Top = "#F6CE78",</t>
  </si>
  <si>
    <t>JudeaP1_Base = "#3DE00A",</t>
  </si>
  <si>
    <t>JudeaP1_Top = "#3DE00A",</t>
  </si>
  <si>
    <t>JudeaP2_Base = "#3DE00A",</t>
  </si>
  <si>
    <t>JudeaP2_Top = "#3DE00A",</t>
  </si>
  <si>
    <t>JudeaP3_Base = "#3DE00A",</t>
  </si>
  <si>
    <t>JudeaP3_Top = "#3DE00A",</t>
  </si>
  <si>
    <t>Kidud_Base = "#F528C0",</t>
  </si>
  <si>
    <t>Kidud_Top = "#F528C0",</t>
  </si>
  <si>
    <t>Miloi2AradL1_Base = "#D79829",</t>
  </si>
  <si>
    <t>Miloi2AradL1_Top = "#D79829",</t>
  </si>
  <si>
    <t>Miloi_Base = "#F6CE78",</t>
  </si>
  <si>
    <t>Sabha_Yutvata_Base = "#E11E5E",</t>
  </si>
  <si>
    <t>Arkan_Zichron_Top = "#9B8465"</t>
  </si>
  <si>
    <t>Avedat_Top = "#F6CE78"</t>
  </si>
  <si>
    <t>Kurnub_Top = "#F5B6B0"</t>
  </si>
  <si>
    <t>Mt_Scopus_Top = "#FF8000"</t>
  </si>
  <si>
    <t>Pleistocene_Top = "#C9B86A"</t>
  </si>
  <si>
    <t>Saqia_Top = "#B43130"</t>
  </si>
  <si>
    <t>Yagur_Top = "#3DE00A"</t>
  </si>
  <si>
    <t>Basalt_Base = "#E00AA8"</t>
  </si>
  <si>
    <t>Beer_Sheva_HalouzaP1_Base = "#E11E5E"</t>
  </si>
  <si>
    <t>Beer_Sheva_HalouzaP1_Top = "#E11E5E"</t>
  </si>
  <si>
    <t>Beer_Sheva_HalouzaP2_Base = "#E11E5E"</t>
  </si>
  <si>
    <t>Beer_Sheva_HalouzaP2_Top = "#E11E5E"</t>
  </si>
  <si>
    <t>Egl_Base = "#F5F312"</t>
  </si>
  <si>
    <t>Egl_Top = "#F5F312"</t>
  </si>
  <si>
    <t>HermonP1_Base = "#3C7DC4"</t>
  </si>
  <si>
    <t>HermonP1_Top = "#3C7DC4"</t>
  </si>
  <si>
    <t>HermonP2_Base = "#3C7DC4"</t>
  </si>
  <si>
    <t>HermonP2_Top = "#3C7DC4"</t>
  </si>
  <si>
    <t>HermonP3_Top = "#3C7DC4"</t>
  </si>
  <si>
    <t>IntL2_Base = "#F6CE78"</t>
  </si>
  <si>
    <t>IntL2_Top = "#F6CE78"</t>
  </si>
  <si>
    <t>JudeaP1_Base = "#3DE00A"</t>
  </si>
  <si>
    <t>JudeaP1_Top = "#3DE00A"</t>
  </si>
  <si>
    <t>JudeaP2_Base = "#3DE00A"</t>
  </si>
  <si>
    <t>JudeaP2_Top = "#3DE00A"</t>
  </si>
  <si>
    <t>JudeaP3_Base = "#3DE00A"</t>
  </si>
  <si>
    <t>JudeaP3_Top = "#3DE00A"</t>
  </si>
  <si>
    <t>Kidud_Base = "#F528C0"</t>
  </si>
  <si>
    <t>Kidud_Top = "#F528C0"</t>
  </si>
  <si>
    <t>Miloi2AradL1_Base = "#D79829"</t>
  </si>
  <si>
    <t>Miloi2AradL1_Top = "#D79829"</t>
  </si>
  <si>
    <t>Miloi_Base = "#F6CE78"</t>
  </si>
  <si>
    <t>Sabha_Yutvata_Base = "#E11E5E"</t>
  </si>
  <si>
    <t>#0B630B</t>
  </si>
  <si>
    <t>#063806</t>
  </si>
  <si>
    <t>Code</t>
  </si>
  <si>
    <t>ladel</t>
  </si>
  <si>
    <t>hex</t>
  </si>
  <si>
    <t>Al - Alluvium</t>
  </si>
  <si>
    <t>#F5F5F5</t>
  </si>
  <si>
    <t>Al+Qp - Al+Qp</t>
  </si>
  <si>
    <t>Qs+Qp - Qs+Qp</t>
  </si>
  <si>
    <t xml:space="preserve">Qp - Playa </t>
  </si>
  <si>
    <t>Qsd - Sand dunes</t>
  </si>
  <si>
    <t>#FFEDC4</t>
  </si>
  <si>
    <t>Qss - Sand sheets</t>
  </si>
  <si>
    <t>Qs - Dune sand</t>
  </si>
  <si>
    <t>Qbc - Beach rocks &amp; reefs</t>
  </si>
  <si>
    <t>#E6E8E8</t>
  </si>
  <si>
    <t>Qsa - Sabkha soil</t>
  </si>
  <si>
    <t>Qf - Recent fan</t>
  </si>
  <si>
    <t>#E6E6E6</t>
  </si>
  <si>
    <t>Qls - Loess, fluvial &amp; eolian</t>
  </si>
  <si>
    <t>#FFFAD9</t>
  </si>
  <si>
    <t>Qk - Calcareous sandstone (kurkar)</t>
  </si>
  <si>
    <t>#D9E2DA</t>
  </si>
  <si>
    <t>Qrl - Ruhama Loess &amp; sand</t>
  </si>
  <si>
    <t>#F2EFBB</t>
  </si>
  <si>
    <t>Qh - Red sands, loam (hamra)</t>
  </si>
  <si>
    <t>Qna - Nahshon Cgl.</t>
  </si>
  <si>
    <t>#E6E9E9</t>
  </si>
  <si>
    <t>Qbl - Betlehem Cgl.</t>
  </si>
  <si>
    <t>Q3 - Terrace cgl., low</t>
  </si>
  <si>
    <t>Q2 - Terrace cgl., intermediate</t>
  </si>
  <si>
    <t>Q1 - Terrace cgl., high</t>
  </si>
  <si>
    <t>Qc2 - Terrace cgl., low</t>
  </si>
  <si>
    <t>Qc1 - Terrace cgl., high</t>
  </si>
  <si>
    <t>Qc - Terrace cgl.</t>
  </si>
  <si>
    <t>Qt - Tufa (travertine)</t>
  </si>
  <si>
    <t>#C7EBFA</t>
  </si>
  <si>
    <t>Qm - Malaha Fm. (Peat)</t>
  </si>
  <si>
    <t>#CACACC</t>
  </si>
  <si>
    <t>Qze - Ze'elim Fm.</t>
  </si>
  <si>
    <t>#D9CFC7</t>
  </si>
  <si>
    <t>Qkr - Kurkar Gr.</t>
  </si>
  <si>
    <t>#BDFFCE</t>
  </si>
  <si>
    <t>Qr - Rehovot Fm.</t>
  </si>
  <si>
    <t>Qht - Tel Aviv calcarenite</t>
  </si>
  <si>
    <t>Qhk - Hefer Fm.; kurkar</t>
  </si>
  <si>
    <t>Qhh - Hefer Fm.; hamra</t>
  </si>
  <si>
    <t>Qd - Dead Sea Gr.</t>
  </si>
  <si>
    <t>Qz - Zehiha Fm.</t>
  </si>
  <si>
    <t>#F2EABB</t>
  </si>
  <si>
    <t>Qul - Unnamed clastic unit</t>
  </si>
  <si>
    <t>Qli - Lisan Fm.</t>
  </si>
  <si>
    <t>#FDF8D7</t>
  </si>
  <si>
    <t>Qrg - Ramat Gerofit Cgl.</t>
  </si>
  <si>
    <t>#C4C29E</t>
  </si>
  <si>
    <t>Qbu - Biq`at Uvda Cgl.</t>
  </si>
  <si>
    <t>#E8D666</t>
  </si>
  <si>
    <t>Qga - Garof Fm.</t>
  </si>
  <si>
    <t>#D5D5D5</t>
  </si>
  <si>
    <t>Qhu - Hula Group</t>
  </si>
  <si>
    <t>#E8E0D6</t>
  </si>
  <si>
    <t>Qas - Ashmura Fm.</t>
  </si>
  <si>
    <t>Qby - Gesher Bnot Ya'aqov Fm.</t>
  </si>
  <si>
    <t>#88CFBD</t>
  </si>
  <si>
    <t>Qaw - En Awwazim Cgl.</t>
  </si>
  <si>
    <t>#E6C29F</t>
  </si>
  <si>
    <t>Qcs - Si'on Cgl.</t>
  </si>
  <si>
    <t>#D7D9DA</t>
  </si>
  <si>
    <t>Qzg - Hazor &amp; Gadot fms.</t>
  </si>
  <si>
    <t>#E9E1D7</t>
  </si>
  <si>
    <t>Qw - Wadi Malih Cgl.</t>
  </si>
  <si>
    <t>Peg - Egel Cgl.</t>
  </si>
  <si>
    <t>Pm - Mahanayim Marl</t>
  </si>
  <si>
    <t>#FFF899</t>
  </si>
  <si>
    <t>Qβu - Uzeir basalt</t>
  </si>
  <si>
    <t>#F3645C</t>
  </si>
  <si>
    <t>Qβgs - Sa'ar basalt flows</t>
  </si>
  <si>
    <t>#FF5F17</t>
  </si>
  <si>
    <t>Q βaw - En Awwazim flow</t>
  </si>
  <si>
    <t>#F2635C</t>
  </si>
  <si>
    <t>Qβg - Golan basalt flows (Muweissa and En Zivan flows)</t>
  </si>
  <si>
    <t>Qβgr - Raqad Basalt</t>
  </si>
  <si>
    <t>#FF5E17</t>
  </si>
  <si>
    <t>Qτga - Avital Tuff</t>
  </si>
  <si>
    <t>#ADBFF7</t>
  </si>
  <si>
    <t>Qτgb - Brekhat Ram Tuff</t>
  </si>
  <si>
    <t>#F7B2AD</t>
  </si>
  <si>
    <t>Qβge - En Zivan basalt flows</t>
  </si>
  <si>
    <t>Qβgm - Muweisse basalt flows</t>
  </si>
  <si>
    <t>Qσgo - Odem scoria</t>
  </si>
  <si>
    <t>#FF8AFF</t>
  </si>
  <si>
    <t>Qβgk - Keramim basalt</t>
  </si>
  <si>
    <t>Q βoh - Hazbani basalt flows</t>
  </si>
  <si>
    <t>Qβod - Ortal Fm. Dalwe flows</t>
  </si>
  <si>
    <t>PQσos - Shievan Scoria</t>
  </si>
  <si>
    <t>#EE08D0</t>
  </si>
  <si>
    <t>P βa - Amud Basalt</t>
  </si>
  <si>
    <t>Pβd - Dalton Basalt</t>
  </si>
  <si>
    <t>Pβde - Eitar Basalt</t>
  </si>
  <si>
    <t>#F26378</t>
  </si>
  <si>
    <t>βn - Neogene basalts</t>
  </si>
  <si>
    <t>#2454ED</t>
  </si>
  <si>
    <t>Pβm - Meshki basalt flows</t>
  </si>
  <si>
    <t>#F59FA5</t>
  </si>
  <si>
    <t>PQβry - Yarda/Ruman basalt flows</t>
  </si>
  <si>
    <t>PQβyd - Yehudiyya &amp; Dalwe basalt flows</t>
  </si>
  <si>
    <t>Pσcb - Bene Yehuda scoria</t>
  </si>
  <si>
    <t>Pβc - Cover Basalt</t>
  </si>
  <si>
    <t>#EE3124</t>
  </si>
  <si>
    <t>Qsf - Seif Fm.</t>
  </si>
  <si>
    <t>Qye - Ye'elim Fm.</t>
  </si>
  <si>
    <t>#B6A69F</t>
  </si>
  <si>
    <t>Qau - Amora Fm. Upper Mbr.</t>
  </si>
  <si>
    <t>#F3CEA0</t>
  </si>
  <si>
    <t>Qal - Amora Fm. Lower Mbr.</t>
  </si>
  <si>
    <t>#B078D0</t>
  </si>
  <si>
    <t>Qasa - Amora Salt</t>
  </si>
  <si>
    <t>Psh - Hof shale and salt Member</t>
  </si>
  <si>
    <t>#4A94FF</t>
  </si>
  <si>
    <t>Psmc - Mearat Sedom caprock</t>
  </si>
  <si>
    <t>#D2FFEB</t>
  </si>
  <si>
    <t>Psm - Mearat Sedom salt Member</t>
  </si>
  <si>
    <t>#8DFFAB</t>
  </si>
  <si>
    <t>Psb - Benot Lot shale Member</t>
  </si>
  <si>
    <t>#D28817</t>
  </si>
  <si>
    <t>Pslc - Lot caprock</t>
  </si>
  <si>
    <t>#B392FF</t>
  </si>
  <si>
    <t>Psl - Lot salt Member</t>
  </si>
  <si>
    <t>#5A0F80</t>
  </si>
  <si>
    <t>Pskc - Karbolet caprock</t>
  </si>
  <si>
    <t>Psk - Karbolet salt and shale Member</t>
  </si>
  <si>
    <t>#D210FF</t>
  </si>
  <si>
    <t>NQs - Samra Fm.</t>
  </si>
  <si>
    <t>Nqef - En Feshha Cgl</t>
  </si>
  <si>
    <t>#E9E3DC</t>
  </si>
  <si>
    <t>NQr - Ravid Cgl.</t>
  </si>
  <si>
    <t>#FFF071</t>
  </si>
  <si>
    <t>NQ ap - Pleshet &amp; Ahuzam fms.</t>
  </si>
  <si>
    <t>#E1D7EB</t>
  </si>
  <si>
    <t>NQa - Ahuzam Cgl.</t>
  </si>
  <si>
    <t>NQp - Pleshet Fm.</t>
  </si>
  <si>
    <t>Ny - Yafo Fm.</t>
  </si>
  <si>
    <t>#F2FF94</t>
  </si>
  <si>
    <t>Nbg - Bira &amp; Gesher fms. Undivided</t>
  </si>
  <si>
    <t>#E9D9AB</t>
  </si>
  <si>
    <t>Pβf - Fejjas Tuff</t>
  </si>
  <si>
    <t>#BCF7BA</t>
  </si>
  <si>
    <t>Pg - Gesher Fm.</t>
  </si>
  <si>
    <t>Mbi - Bira Fm.</t>
  </si>
  <si>
    <t>#F5F3CC</t>
  </si>
  <si>
    <t>NQg - Giv'at Oz Cgl.</t>
  </si>
  <si>
    <t>Ne - Elot Fm.</t>
  </si>
  <si>
    <t>#B0B578</t>
  </si>
  <si>
    <t>Nhe - Heimar Cgl.</t>
  </si>
  <si>
    <t>#FFF300</t>
  </si>
  <si>
    <t>Na(l) - Arava Fm. Lake sediments</t>
  </si>
  <si>
    <t>Nae - Arava Fm Edom facias</t>
  </si>
  <si>
    <t>#DDE8DA</t>
  </si>
  <si>
    <t>Na - Arava Fm.</t>
  </si>
  <si>
    <t>Nm - Mazar Fm.</t>
  </si>
  <si>
    <t>Nc - Neogene cgl.</t>
  </si>
  <si>
    <t>NQc - Neogene-Quaternary conglomerate units</t>
  </si>
  <si>
    <t>Nyt - Yatir Cgl.</t>
  </si>
  <si>
    <t>#E9D766</t>
  </si>
  <si>
    <t>Nb - Bet Nir Cgl.</t>
  </si>
  <si>
    <t>Nz - Ziqlag Fm.</t>
  </si>
  <si>
    <t>#FFFF00</t>
  </si>
  <si>
    <t>Nkg - Kefar Giladi Fm.</t>
  </si>
  <si>
    <t>#FFF200</t>
  </si>
  <si>
    <t>Nhq - Huqoq Fm.</t>
  </si>
  <si>
    <t>#FFF555</t>
  </si>
  <si>
    <t>Mβi - Intermediate basalt</t>
  </si>
  <si>
    <t>#ABF59F</t>
  </si>
  <si>
    <t>Mβl - Lower Basalt</t>
  </si>
  <si>
    <t>#4187B5</t>
  </si>
  <si>
    <t>Mhu - Hordos and Umm Sabune Cgl</t>
  </si>
  <si>
    <t>Mh - Hordos Fm.</t>
  </si>
  <si>
    <t>Me - En Gev Fm.</t>
  </si>
  <si>
    <t>#FCCAA2</t>
  </si>
  <si>
    <t>Nhg - Gidron Mbr.</t>
  </si>
  <si>
    <t>Nhsm - Shahaq &amp; Mashaq Mbr.</t>
  </si>
  <si>
    <t>Nh - Hazeva Fm.</t>
  </si>
  <si>
    <t>Nr - Raham cgl.</t>
  </si>
  <si>
    <t>#D2CF3D</t>
  </si>
  <si>
    <t>Os - Susita Fm.</t>
  </si>
  <si>
    <t>#A2FCC4</t>
  </si>
  <si>
    <t>Of - Fiq Fm.</t>
  </si>
  <si>
    <t>#C5C29F</t>
  </si>
  <si>
    <t>Ol - Lakhish Fm.</t>
  </si>
  <si>
    <t>EOb - Bet Guvrin Fm.</t>
  </si>
  <si>
    <t>#AB9F50</t>
  </si>
  <si>
    <t>Eq+Eha - Qeziot &amp; Har Aqrav fms.</t>
  </si>
  <si>
    <t>Eha - Har Aqrav Fm.</t>
  </si>
  <si>
    <t>#FABB8F</t>
  </si>
  <si>
    <t>Eqr - Qeziot reef</t>
  </si>
  <si>
    <t>Eq - Qeziot Fm.</t>
  </si>
  <si>
    <t>Eav - Avedat Gr.</t>
  </si>
  <si>
    <t>#FFD27B</t>
  </si>
  <si>
    <t>Eiz+Ebk - Izre`el &amp; Bar Kokhba fms.</t>
  </si>
  <si>
    <t>#FFE38C</t>
  </si>
  <si>
    <t>Ebk - Bar Kokhba Fm.</t>
  </si>
  <si>
    <t>#FAA450</t>
  </si>
  <si>
    <t>Eiz - Izre`el Fm.</t>
  </si>
  <si>
    <t>Et - Timrat Fm.</t>
  </si>
  <si>
    <t>#FFD478</t>
  </si>
  <si>
    <t>Eme - Meroz Fm.</t>
  </si>
  <si>
    <t>Emt - Matred Fm.</t>
  </si>
  <si>
    <t>Emr - Maresha Fm.</t>
  </si>
  <si>
    <t>#FFD250</t>
  </si>
  <si>
    <t>Ey - Nahal Yeter Fm.</t>
  </si>
  <si>
    <t>#FDC057</t>
  </si>
  <si>
    <t>Eh - Horsha Fm.</t>
  </si>
  <si>
    <t>#FFE38D</t>
  </si>
  <si>
    <t>Em+En - Mor &amp; Nizzana fms.</t>
  </si>
  <si>
    <t>#FFEB45</t>
  </si>
  <si>
    <t>En - Nizzana Fm.</t>
  </si>
  <si>
    <t>Enhmt - Nizzana, Horsha &amp; Matred fms.</t>
  </si>
  <si>
    <t>#FCBF57</t>
  </si>
  <si>
    <t>Ep - Paran Fm.</t>
  </si>
  <si>
    <t>#F7BACD</t>
  </si>
  <si>
    <t>Em+Ep - Mor &amp; Paran fms.</t>
  </si>
  <si>
    <t>#F6FF63</t>
  </si>
  <si>
    <t>Em - Mor Fm.</t>
  </si>
  <si>
    <t>#FFE364</t>
  </si>
  <si>
    <t>Ea - Adulam Fm.</t>
  </si>
  <si>
    <t>Kums - Mount Scopus Group</t>
  </si>
  <si>
    <t>#C2B600</t>
  </si>
  <si>
    <t>mz - Mottled Zone (metamorphic)</t>
  </si>
  <si>
    <t>#D7E3D5</t>
  </si>
  <si>
    <t xml:space="preserve"> - Slightly metamorphosed Neogene conglomerates</t>
  </si>
  <si>
    <t>#998B7D</t>
  </si>
  <si>
    <t>Ksh - Hatrurim Fm.</t>
  </si>
  <si>
    <t xml:space="preserve"> - high grade metamorphic carbonates</t>
  </si>
  <si>
    <t>#379457</t>
  </si>
  <si>
    <t xml:space="preserve"> - Ca- Al Silicates Olive rocks</t>
  </si>
  <si>
    <t>#459958</t>
  </si>
  <si>
    <t>mzlg - Mottled Zone, low grade metamorphic carbonates</t>
  </si>
  <si>
    <t xml:space="preserve"> - Stratifaied Larnite rocks</t>
  </si>
  <si>
    <t>#287500</t>
  </si>
  <si>
    <t xml:space="preserve"> - Calcite- Spurrite marble</t>
  </si>
  <si>
    <t>#0ADA70</t>
  </si>
  <si>
    <t>KTgt - Ghareb &amp; Taqiye fms.</t>
  </si>
  <si>
    <t>#EEEB66</t>
  </si>
  <si>
    <t>KTmgt - Kumi chalk, Ghareb &amp; Taqiye</t>
  </si>
  <si>
    <t>Tlt - Taqiye Fm.</t>
  </si>
  <si>
    <t>#F3CC00</t>
  </si>
  <si>
    <t>Kug - Ghareb Fm.</t>
  </si>
  <si>
    <t>Kugq - Qela Cgl.</t>
  </si>
  <si>
    <t>Kumm - Menuha &amp; Mishash fms.</t>
  </si>
  <si>
    <t>#D9551F</t>
  </si>
  <si>
    <t>Kumi - Mishash Fm.</t>
  </si>
  <si>
    <t>Kumi2 - Mishash Fm. (upper)</t>
  </si>
  <si>
    <t>Kumi1 - Mishash Fm. (lower)</t>
  </si>
  <si>
    <t>Kumi (b) - Mishash main chert</t>
  </si>
  <si>
    <t>#E3541F</t>
  </si>
  <si>
    <t>Kumi (a) - Upper Menuha (old)</t>
  </si>
  <si>
    <t>#D9541F</t>
  </si>
  <si>
    <t>Kuez - En Zetim Fm.</t>
  </si>
  <si>
    <t>Kumd - Menuha Fm. Dolomitized</t>
  </si>
  <si>
    <t>#B6B600</t>
  </si>
  <si>
    <t>Kuτb - Bat Shelomo Tuff</t>
  </si>
  <si>
    <t>#FF2994</t>
  </si>
  <si>
    <t>Kum - Menuha Fm.</t>
  </si>
  <si>
    <t>Kum(u) - Menuha Fm. (upper)</t>
  </si>
  <si>
    <t>#C2B500</t>
  </si>
  <si>
    <t>Kum(l) - Menuha Fm. (lower)</t>
  </si>
  <si>
    <t>Kum2 - Menuha Fm.2</t>
  </si>
  <si>
    <t>Kum1 - Menuha Fm.1</t>
  </si>
  <si>
    <t>Kuma - Menuha Fm. Ahihud Mbr.</t>
  </si>
  <si>
    <t>Kumk - Menuha Fm. Kabri Marl</t>
  </si>
  <si>
    <t>#66A384</t>
  </si>
  <si>
    <t>Kumh - Menuha Fm. Har Zefat Mbr.</t>
  </si>
  <si>
    <t>#B0B678</t>
  </si>
  <si>
    <t>Kuz - Zihor Fm.</t>
  </si>
  <si>
    <t>#6BC200</t>
  </si>
  <si>
    <t>Kj - Judea Group</t>
  </si>
  <si>
    <t>#55BB48</t>
  </si>
  <si>
    <t>Kueh - En Hod Limestone</t>
  </si>
  <si>
    <t>#80FF00</t>
  </si>
  <si>
    <t>Kub (s) - Bina Fm. Sumaq Mbr.</t>
  </si>
  <si>
    <t>#B7EB00</t>
  </si>
  <si>
    <t>Kub (m) - Bina Fm. Muhraqa Mbr.</t>
  </si>
  <si>
    <t>#C2D931</t>
  </si>
  <si>
    <t>Kuda - Daliyya Fm.</t>
  </si>
  <si>
    <t>#D1FFEB</t>
  </si>
  <si>
    <t>Kumu(d) - Muhraqa Fm. (dolostone)</t>
  </si>
  <si>
    <t>#CCFF8F</t>
  </si>
  <si>
    <t>Kumu(l) - Muhraqa Fm. (l'st)</t>
  </si>
  <si>
    <t>Kumu - Muhraqa Fm.</t>
  </si>
  <si>
    <t>Kuyi - Yirka Fm.</t>
  </si>
  <si>
    <t>#FFC7A9</t>
  </si>
  <si>
    <t>Kusb - Sahnin &amp; Bina fms.</t>
  </si>
  <si>
    <t>Kub - Bina Fm.</t>
  </si>
  <si>
    <t>Kuge - Gerofit Fm.</t>
  </si>
  <si>
    <t>Kuo2 - Ora Fm.2</t>
  </si>
  <si>
    <t>#CCAD6B</t>
  </si>
  <si>
    <t>Kuo1 - Ora Fm.1</t>
  </si>
  <si>
    <t>Kuo - Ora Fm.</t>
  </si>
  <si>
    <t>#CCAE6C</t>
  </si>
  <si>
    <t>Kush+Kun - Nezer &amp; Shivta fms.</t>
  </si>
  <si>
    <t>Kun (b) - Nezer (b) Fm.</t>
  </si>
  <si>
    <t>Kun (a) - Nezer (a) Fm.</t>
  </si>
  <si>
    <t>Kun - Nezer Fm.</t>
  </si>
  <si>
    <t>Kud+Kush - Derorim &amp; Shivta fms.</t>
  </si>
  <si>
    <t>#C2D930</t>
  </si>
  <si>
    <t>Kush - Shivta Fm.</t>
  </si>
  <si>
    <t>Kud - Derorim Fm.</t>
  </si>
  <si>
    <t>#5F9F00</t>
  </si>
  <si>
    <t>Kuh - Hazera Fm.</t>
  </si>
  <si>
    <t>#7EAC61</t>
  </si>
  <si>
    <t>Kut2 - Tamar Fm.2</t>
  </si>
  <si>
    <t>Kut1 - Tamar Fm.1</t>
  </si>
  <si>
    <t>Kut - Tamar Fm.</t>
  </si>
  <si>
    <t xml:space="preserve">Kue - Eyal Fm. </t>
  </si>
  <si>
    <t>Kuy - Yanuh Fm.</t>
  </si>
  <si>
    <t>#CFDE9A</t>
  </si>
  <si>
    <t>Kuw(a) - Weradim Fm. (Mizi Ahmar)</t>
  </si>
  <si>
    <t>Kuw(y) - Weradim Fm. (Mizi Yahudi)</t>
  </si>
  <si>
    <t>Kuw - Weradim Fm.</t>
  </si>
  <si>
    <t>Kusa - Sakhnin Fm.</t>
  </si>
  <si>
    <t>Kui+Kuk - Isfiye, Khreibe &amp; Shamir fms. (undivided)</t>
  </si>
  <si>
    <t>#C9E300</t>
  </si>
  <si>
    <t>Kuk - Khreibe, Shamir (Juneidiya) &amp; Zikhron fms.</t>
  </si>
  <si>
    <t>Kuar - Arqan Fm.</t>
  </si>
  <si>
    <t>#A4FF83</t>
  </si>
  <si>
    <t>Kukj - Juneidiya Fm.</t>
  </si>
  <si>
    <t>Kuzi - Zikhron Fm.</t>
  </si>
  <si>
    <t>#EB0670</t>
  </si>
  <si>
    <t>Kukh - Khreibe Fm.</t>
  </si>
  <si>
    <t>Kuig - Isfye Fm. Gryphaea ls't</t>
  </si>
  <si>
    <t>#CCDE8F</t>
  </si>
  <si>
    <t>Kuib - Isfye Fm. Bet Oren ls't</t>
  </si>
  <si>
    <t>Kui (l) - Isfye Fm. l'st</t>
  </si>
  <si>
    <t>Kui (d) - Isfye Fm. dolostone</t>
  </si>
  <si>
    <t>Kui - Isfye Fm.</t>
  </si>
  <si>
    <t>Kuzy - Zafit &amp; Yotvata mbrs.</t>
  </si>
  <si>
    <t>#A3FF82</t>
  </si>
  <si>
    <t>Kuavd - Avnon Fm. (dolomitized)</t>
  </si>
  <si>
    <t>Kuav - Avnon Fm.</t>
  </si>
  <si>
    <t>Kuza - Zafit Fm.</t>
  </si>
  <si>
    <t>Kuey (b) - En Yorqe`am (b)</t>
  </si>
  <si>
    <t>#FFCC70</t>
  </si>
  <si>
    <t>Kuey (a) - En Yorqe`am (a)</t>
  </si>
  <si>
    <t>Kuey - En Yorqeam Fm.</t>
  </si>
  <si>
    <t>#FFCC71</t>
  </si>
  <si>
    <t>Kch - Amminadav &amp; Kefar Shau`l fms. (Hevron)</t>
  </si>
  <si>
    <t>Kuks - Kefar Sha`ul Fm.</t>
  </si>
  <si>
    <t>Kua - Amminadav Fm.</t>
  </si>
  <si>
    <t>Kcy - Bet Meir &amp; Moza fms. (Yatta)</t>
  </si>
  <si>
    <t>#FFCD70</t>
  </si>
  <si>
    <t>Kumo - Moza Fm.</t>
  </si>
  <si>
    <t>Kubm - Bet Meir Fm.</t>
  </si>
  <si>
    <t>Kτdf - Umm el Fahm Tuff</t>
  </si>
  <si>
    <t>#E876AD</t>
  </si>
  <si>
    <t>Kβdm - Me Ammi basalt</t>
  </si>
  <si>
    <t>Kuvs - Shefeya volcanics</t>
  </si>
  <si>
    <t>#FF8D7A</t>
  </si>
  <si>
    <t>Kuβr - Raqefet basalt</t>
  </si>
  <si>
    <t>#A63D44</t>
  </si>
  <si>
    <t>Kuτt - Tavasim tuff</t>
  </si>
  <si>
    <t>#B391FF</t>
  </si>
  <si>
    <t>Kuτm - Maharal tuff</t>
  </si>
  <si>
    <t>#FF4FDF</t>
  </si>
  <si>
    <t>Kudev - Deir Hanna Fm. Volcanics</t>
  </si>
  <si>
    <t>Kudr - Deir Hanna Fm., Rosh Haniqra &amp; Ya'ara Mbr.</t>
  </si>
  <si>
    <t>#CDE300</t>
  </si>
  <si>
    <t>Kudk - Deir Hanna Fm., Karkara Mbr.</t>
  </si>
  <si>
    <t>Kude - Deir Hanna Fm.</t>
  </si>
  <si>
    <t>Khe(c1) - Yagur, Kammon; Givat Ye`arim, Soreq, Kesalon; Hevyon</t>
  </si>
  <si>
    <t>#82B000</t>
  </si>
  <si>
    <t>Kuke - Kesalon Fm.</t>
  </si>
  <si>
    <t>Kus - Soreq Fm.</t>
  </si>
  <si>
    <t>Kugy - Giv`at Ye`arim Fm.</t>
  </si>
  <si>
    <t>#91B000</t>
  </si>
  <si>
    <t>Klk - Kefira Fm.</t>
  </si>
  <si>
    <t>Klhh - Hevyon Fm.</t>
  </si>
  <si>
    <t>Klkam - Kamon Fm.</t>
  </si>
  <si>
    <t>Klf - Fureidis reef complex</t>
  </si>
  <si>
    <t>#BDD6CC</t>
  </si>
  <si>
    <t>Klty - Talme Yafe Fm.</t>
  </si>
  <si>
    <t>#BDD7CC</t>
  </si>
  <si>
    <t xml:space="preserve">Klya - Yagur Fm. </t>
  </si>
  <si>
    <t>Klma - Mas'ada Fm.</t>
  </si>
  <si>
    <t>Klir - Hidra, Asfuri &amp; Rama fms.</t>
  </si>
  <si>
    <t>Klr - Rama Fm.</t>
  </si>
  <si>
    <t>Klka - Katih Fm.</t>
  </si>
  <si>
    <t>Kli - Hidra Fm. (incl. Asfuri Fm.)</t>
  </si>
  <si>
    <t>#76AE99</t>
  </si>
  <si>
    <t>Klq - Qatana Fm.</t>
  </si>
  <si>
    <t>Kle - En Qinya Fm.</t>
  </si>
  <si>
    <t>Klt - Tammun Fm.</t>
  </si>
  <si>
    <t>#A1D6B5</t>
  </si>
  <si>
    <t>Klei - Ein El Assad Fm.</t>
  </si>
  <si>
    <t>#08D800</t>
  </si>
  <si>
    <t>Klhn - Hatira and Nabi Sa'id fms.</t>
  </si>
  <si>
    <t>#C9D6A6</t>
  </si>
  <si>
    <t>Kln - Nabi Said Formation</t>
  </si>
  <si>
    <t>#D4DC8F</t>
  </si>
  <si>
    <t>Lc - Gres de base, Nabi Sa`id, Ein el Assad, Hidra, Rama</t>
  </si>
  <si>
    <t>Klβv - Kl  volcaniclastic</t>
  </si>
  <si>
    <t>#A500A5</t>
  </si>
  <si>
    <t>Klβ - Low. Cretaceous volcanics &amp; sed. Sequence</t>
  </si>
  <si>
    <t>#E64096</t>
  </si>
  <si>
    <t>Klβb - Banas basalt</t>
  </si>
  <si>
    <t>#E64097</t>
  </si>
  <si>
    <t>Klβr - Ramon Basalt</t>
  </si>
  <si>
    <t>im - Mesozoic Intrusive rocks</t>
  </si>
  <si>
    <t>#E0124F</t>
  </si>
  <si>
    <t>Klsa - Samar Fm.</t>
  </si>
  <si>
    <t>Klav - Avrona Fm.</t>
  </si>
  <si>
    <t>#9BBEC0</t>
  </si>
  <si>
    <t>Klam - Amir Fm.</t>
  </si>
  <si>
    <t>#A8C978</t>
  </si>
  <si>
    <t>m - Hatira Fm. (marine)</t>
  </si>
  <si>
    <t>Klh - Hatira Fm.</t>
  </si>
  <si>
    <t>#CAD7A6</t>
  </si>
  <si>
    <t>Klar - Arod Cgl.</t>
  </si>
  <si>
    <t>#F5F3AE</t>
  </si>
  <si>
    <t>Jub+Juh - Be'er Sheva &amp; Haluza fms.</t>
  </si>
  <si>
    <t>#0E3BA0</t>
  </si>
  <si>
    <t>Juh - Haluza Fm.</t>
  </si>
  <si>
    <t>#A0C4DA</t>
  </si>
  <si>
    <t>Jub - Be'er Sheva Fm.</t>
  </si>
  <si>
    <t>Juk - Kidod Fm.</t>
  </si>
  <si>
    <t>#7ACCC7</t>
  </si>
  <si>
    <t>Jmh - Hermon Fm.</t>
  </si>
  <si>
    <t>#7ECCBC</t>
  </si>
  <si>
    <t>Jmz - Zohar Fm.</t>
  </si>
  <si>
    <t>Jmm - Mahmal Fm.</t>
  </si>
  <si>
    <t>#6699C7</t>
  </si>
  <si>
    <t>Jli - Inmar Fm.</t>
  </si>
  <si>
    <t>#9CC2BB</t>
  </si>
  <si>
    <t>Jlam - Mishhor &amp; Ardon fms.</t>
  </si>
  <si>
    <t>#71CCD2</t>
  </si>
  <si>
    <t>im (L) - Mesozoic Intrusive rocks (Laccolith)</t>
  </si>
  <si>
    <t>#E11250</t>
  </si>
  <si>
    <t>Trum - Mohila Fm.</t>
  </si>
  <si>
    <t>#CFA6CF</t>
  </si>
  <si>
    <t>Trms - Saharonim Fm.</t>
  </si>
  <si>
    <t>#FACCD2</t>
  </si>
  <si>
    <t>Pyn - Netafim Fm.</t>
  </si>
  <si>
    <t>#D18717</t>
  </si>
  <si>
    <t>Pysv - Shehoret Fm. Variegated Mb.</t>
  </si>
  <si>
    <t>Pysw - Shehoret Fm. Whited Mb.</t>
  </si>
  <si>
    <t>Pysm - Shehoret Fm. Multicolored Mb.</t>
  </si>
  <si>
    <t>Pys - Shehoret Fm.</t>
  </si>
  <si>
    <t>#C73232</t>
  </si>
  <si>
    <t>Pyt - Timna Fm.</t>
  </si>
  <si>
    <t>#E0E0AF</t>
  </si>
  <si>
    <t>Pya - Amudei Shlomo Fm.</t>
  </si>
  <si>
    <t>#9C7E5F</t>
  </si>
  <si>
    <t xml:space="preserve">σ - Quartz Monzodiorite </t>
  </si>
  <si>
    <t>#418479</t>
  </si>
  <si>
    <t>γt - Alkali granite Timna</t>
  </si>
  <si>
    <t>#C25F9C</t>
  </si>
  <si>
    <t>δ - Olivine Norite</t>
  </si>
  <si>
    <t>#3063FF</t>
  </si>
  <si>
    <t>δt - Granite Porphyry</t>
  </si>
  <si>
    <t>#542A81</t>
  </si>
  <si>
    <t>Δa - Dolerite Dyke</t>
  </si>
  <si>
    <t>#389E00</t>
  </si>
  <si>
    <t>Δc - Dyke country</t>
  </si>
  <si>
    <t>πa - Amram Rhyolite</t>
  </si>
  <si>
    <t>#FF7817</t>
  </si>
  <si>
    <t>πai - Ignimbrites &amp; agglomerates</t>
  </si>
  <si>
    <t>p&lt;BOL&gt;&lt;FNT name="Symbol" size="7.50"&gt;Î&lt;/FNT&gt;&lt;/BOL&gt;ce - Elat cgl.</t>
  </si>
  <si>
    <t>#FFF554</t>
  </si>
  <si>
    <t>πry - Ramat Yotam Silicic Volcanic Rocks</t>
  </si>
  <si>
    <t>p&lt;BOL&gt;&lt;FNT name="Symbol" size="7.50"&gt;Î&lt;/FNT&gt;&lt;/BOL&gt;cr - Roded cgl.</t>
  </si>
  <si>
    <t>τgs - Givat Shehoret Andesitic&amp;Trachytic Volcanic Complex</t>
  </si>
  <si>
    <t>#F26385</t>
  </si>
  <si>
    <t>p&lt;BOL&gt;&lt;FNT name="Symbol" size="7.50"&gt;Î&lt;/FNT&gt;&lt;/BOL&gt;β - Basalt&amp;Andesitic&amp;Trachitic flows&amp;Tuffs</t>
  </si>
  <si>
    <t>#ED3024</t>
  </si>
  <si>
    <t>γy - Yehoshafat Granite</t>
  </si>
  <si>
    <t>γs - Shahmon Granite</t>
  </si>
  <si>
    <t>#D66352</t>
  </si>
  <si>
    <t>γpa - Amram Granite Porphyry</t>
  </si>
  <si>
    <t xml:space="preserve">ςa - Amram Monzonite </t>
  </si>
  <si>
    <t>#FF9117</t>
  </si>
  <si>
    <t>qςa - Amram Quartz Syenite</t>
  </si>
  <si>
    <t>#FAA250</t>
  </si>
  <si>
    <t>γe - Elat Granite</t>
  </si>
  <si>
    <t>γpr - Roded Granite Porphyry</t>
  </si>
  <si>
    <t>qδr  - Roded Quartz Diorite</t>
  </si>
  <si>
    <t xml:space="preserve">μs - Shahmon Amphibolite </t>
  </si>
  <si>
    <t>μr - Roded Amphibolite</t>
  </si>
  <si>
    <t>#D10FFF</t>
  </si>
  <si>
    <t>ηr  - Roded Migmatite</t>
  </si>
  <si>
    <t>νγ - Granitic Gneiss</t>
  </si>
  <si>
    <t>νt - Taba Gneiss</t>
  </si>
  <si>
    <t>#FFC7A8</t>
  </si>
  <si>
    <t>νr - Roded Gneiss</t>
  </si>
  <si>
    <t>#FACCD1</t>
  </si>
  <si>
    <t>σe - Elat Schist</t>
  </si>
  <si>
    <t>σr - Roded Schist</t>
  </si>
  <si>
    <t>R - Ruin</t>
  </si>
  <si>
    <t>ME - Mining efluens</t>
  </si>
  <si>
    <t>MΤ - Mine Tailings</t>
  </si>
  <si>
    <t>*Kumi - Landslide of Kumi beds</t>
  </si>
  <si>
    <t>*Nz - Landslide of Ziqlag beds</t>
  </si>
  <si>
    <t>TLS - Slope movement material</t>
  </si>
  <si>
    <t>#EBE3DE</t>
  </si>
  <si>
    <t xml:space="preserve"> - Landslide</t>
  </si>
  <si>
    <t xml:space="preserve"> - out</t>
  </si>
  <si>
    <t>#D4D0C8</t>
  </si>
  <si>
    <t>OUT , Sea</t>
  </si>
  <si>
    <t>#DEFFFF</t>
  </si>
  <si>
    <t>q , Alluvium - (Holocene)</t>
  </si>
  <si>
    <t>#F0FFE0</t>
  </si>
  <si>
    <t>ql , Lisan Fm. - (Quaternary)</t>
  </si>
  <si>
    <t>#F0FF8F</t>
  </si>
  <si>
    <t>nqc , Conglomerate units, undivided - (Neogene - Quaternary)</t>
  </si>
  <si>
    <t>#E0E0D1</t>
  </si>
  <si>
    <t>qsa , Samra Fm. - (Pliocene - Pleistocene)</t>
  </si>
  <si>
    <t>#DAFFB9</t>
  </si>
  <si>
    <t>eav , Avedat Group - (Lower - Middle Eocene)</t>
  </si>
  <si>
    <t>#FFDC46</t>
  </si>
  <si>
    <t>mz , Hatrurim Fm. ("Mottled Zone")</t>
  </si>
  <si>
    <t>#B2FCFF</t>
  </si>
  <si>
    <t>ma , Ghareb Fm. - (Maastrichtian)</t>
  </si>
  <si>
    <t>#B0FF80</t>
  </si>
  <si>
    <t>ca , Mishash Fm. - (Campanian)</t>
  </si>
  <si>
    <t>#FFA86D</t>
  </si>
  <si>
    <t>βn , Volcanic rock units, undifferentiated - (Miocene and Pliocene)</t>
  </si>
  <si>
    <t>#D11141</t>
  </si>
  <si>
    <t>sc , Menuha Fm. - (Coniacian - Campanian)</t>
  </si>
  <si>
    <t>#C6E019</t>
  </si>
  <si>
    <t>t , Bina Fm.; Derorim, Shivta and Nezer fms.; Ora and Gerofit fms. - (Turonian)</t>
  </si>
  <si>
    <t>#41F011</t>
  </si>
  <si>
    <t>ts , Turonian - Santonian (Jordan)</t>
  </si>
  <si>
    <t>#4EE010</t>
  </si>
  <si>
    <t>qt , Travertine - (Quaternary)</t>
  </si>
  <si>
    <t>#D1FFFF</t>
  </si>
  <si>
    <t>qt , Travertine (in Kurkar Group) - (Quaternary)</t>
  </si>
  <si>
    <t>#D1FDFF</t>
  </si>
  <si>
    <t>cts , Cenomanian - Turonian - Senonian (Jordan)</t>
  </si>
  <si>
    <t>#55FF21</t>
  </si>
  <si>
    <t>mp , Ghareb and Taqiye fms. (Maastrichtian - Paleocene)</t>
  </si>
  <si>
    <t>#B1D182</t>
  </si>
  <si>
    <t>uc , Yirka Fm. - (Turonian )</t>
  </si>
  <si>
    <t>#71FF61</t>
  </si>
  <si>
    <t>c , Albian - Cenomanian - (Jordan)</t>
  </si>
  <si>
    <t>#61FF30</t>
  </si>
  <si>
    <t>con , Zihor Fm. - (Coniacian)</t>
  </si>
  <si>
    <t>#C6F019</t>
  </si>
  <si>
    <t>m , Hazeva Fm.; Hordos Fm.; Um Sabune Conglomerate; Kefar Gil`adi Fm. - (Miocene)</t>
  </si>
  <si>
    <t>#FFF500</t>
  </si>
  <si>
    <t>c3 , Sakhnin and Yanuh fms.; Weradim Fm.; Tamar Fm. - (Cenomanian)</t>
  </si>
  <si>
    <t>#71F011</t>
  </si>
  <si>
    <t>c2 , Deir Hanna Fm.; Chalk and limestone rock units in Mt. Carmel; B. Meir, Moza, Amminadav and K. Shaul fms.; En Yorqe`am, Zafit and Avnon fms. - (Cenomanian)</t>
  </si>
  <si>
    <t>#8FF04F</t>
  </si>
  <si>
    <t>c1 , Yagur Fm; Kammon Fm.; G. Ye`arim, Soreq and Kesalon fms.; Hevyon Fm. - (Albian-Cenomanian)</t>
  </si>
  <si>
    <t>#61E041</t>
  </si>
  <si>
    <t>lck , Kurnub Group - (Lower Cretaceous)</t>
  </si>
  <si>
    <t>#B0903F</t>
  </si>
  <si>
    <t>im , Intrusions and volcaniclastic rocks - (Mesozoic)</t>
  </si>
  <si>
    <t>#FF0000</t>
  </si>
  <si>
    <t>βlc , Basalt flows and volcaniclastics; Tayasir Volcanics - (Lower Cretaceous)</t>
  </si>
  <si>
    <t>#BF0080</t>
  </si>
  <si>
    <t>enm , Nizzana, Horsha, Matred and Nahal Yeter fms. - (Lower - Middle Eocene)</t>
  </si>
  <si>
    <t>#FFD248</t>
  </si>
  <si>
    <t>ea , Adulam Fm.; Mor Fm. - (Lower Eocene)</t>
  </si>
  <si>
    <t>#F0AA00</t>
  </si>
  <si>
    <t>nql , Zehiha Fm.; Lacustrine deposits - (Neogene - Quaternary)</t>
  </si>
  <si>
    <t>#FFFF59</t>
  </si>
  <si>
    <t>ls , Landslide - (Quaternary)</t>
  </si>
  <si>
    <t>#DBDBC8</t>
  </si>
  <si>
    <t>p , Bira and Gesher fms.; Kurdani Fm.; Pleshet Fm.; Mazar Fm. - (Pliocene)</t>
  </si>
  <si>
    <t>#FFFF6D</t>
  </si>
  <si>
    <t>βm , Lower Basalt and part of Intermediate Basalt - (Miocene)</t>
  </si>
  <si>
    <t>#D10070</t>
  </si>
  <si>
    <t>βc , Cover Basalt and Dalwe Basalt - (Pliocene - Pleistocene)</t>
  </si>
  <si>
    <t>#E04181</t>
  </si>
  <si>
    <t>ebk , Bar Kokhba Fm. - (Middle Eocene)</t>
  </si>
  <si>
    <t>#F0B041</t>
  </si>
  <si>
    <t>sp , Mount Scopus Group - (Senonian - Paleocene)</t>
  </si>
  <si>
    <t>#AEFF00</t>
  </si>
  <si>
    <t>qu , Gadot and Mishmar HaYarden fms.; Erq el Ahmar and Ubediye fms.; - (Pliocene-Pleistocene)</t>
  </si>
  <si>
    <t>#E0FFA1</t>
  </si>
  <si>
    <t>βqy , Yarmouk Basalt; Naharayim Basalt - (Quaternary)</t>
  </si>
  <si>
    <t>#F02F22</t>
  </si>
  <si>
    <t>e , Eocene</t>
  </si>
  <si>
    <t>#EDD100</t>
  </si>
  <si>
    <t>ue , Bet Guvrin Fm.; Qeziot and Har Aqrav fms.; Fiq Fm. - (Upper Eocene)</t>
  </si>
  <si>
    <t>#FFD2B6</t>
  </si>
  <si>
    <t>emr , Maresha Fm. - (Middle Eocene)</t>
  </si>
  <si>
    <t>#F0DE1F</t>
  </si>
  <si>
    <t>ol , Lakhish Fm.; Susita Fm. - (Oligocene)</t>
  </si>
  <si>
    <t>#F0BF7F</t>
  </si>
  <si>
    <t>βqg , Golan Basalt; Raqqad Basalt - (Quaternary)</t>
  </si>
  <si>
    <t>#F02011</t>
  </si>
  <si>
    <t>v , Volcanic cone - (Quaternary)</t>
  </si>
  <si>
    <t>#990000</t>
  </si>
  <si>
    <t>in , Intrusive and pyroclastic rocks - (Miocene)</t>
  </si>
  <si>
    <t>#FF00FF</t>
  </si>
  <si>
    <t>qk , Calcareous sandstone ("kurkar") - (Quaternary)</t>
  </si>
  <si>
    <t>#BFCFFF</t>
  </si>
  <si>
    <t>qs , Sand dunes - (Holocene)</t>
  </si>
  <si>
    <t>#FFFFB6</t>
  </si>
  <si>
    <t>ct , Cenomanian - Turonian in Lebanon</t>
  </si>
  <si>
    <t>#60FF21</t>
  </si>
  <si>
    <t>qh , Red sand and loam ("hamra") - (Quaternary)</t>
  </si>
  <si>
    <t>#FFF5EB</t>
  </si>
  <si>
    <t>et , Timrat Fm.; Meroz and Yizre`el fms. - (Lower - Middle Eocene)</t>
  </si>
  <si>
    <t>#FFD26D</t>
  </si>
  <si>
    <t>mm , Ziqlag Fm.; Patish Fm.; Marine carbonate units in Lebanon - (Miocene)</t>
  </si>
  <si>
    <t>#FFDF8F</t>
  </si>
  <si>
    <t>lc , Nabi Sa`id, Ein el Assad, Hidra, Rama and Kefira fms. - (Lower Cretaceous)</t>
  </si>
  <si>
    <t>#4FB06F</t>
  </si>
  <si>
    <t>βpd , Dalton Basalt - (Pliocene)</t>
  </si>
  <si>
    <t>#E03479</t>
  </si>
  <si>
    <t>ps , Sedom and Amora fms. - (Pliocene)</t>
  </si>
  <si>
    <t>#FFFF40</t>
  </si>
  <si>
    <t>jm , Hermon Fm.; Mahmal Fm.; Zohar and Matmor fms. - (Middle Jurassic)</t>
  </si>
  <si>
    <t>#3FBFB0</t>
  </si>
  <si>
    <t>jl2 , Inmar Fm. - (Lower Jurassic)</t>
  </si>
  <si>
    <t>#41E0C1</t>
  </si>
  <si>
    <t>pa , Taqiye Fm. - (Paleocene)</t>
  </si>
  <si>
    <t>#AFBF50</t>
  </si>
  <si>
    <t>βuc , Volcanic rock units, undifferentiated - (Upper Cretaceous)</t>
  </si>
  <si>
    <t>#BF0030</t>
  </si>
  <si>
    <t>qp , Playa deposits - (Quaternary)</t>
  </si>
  <si>
    <t>#FFF0DE</t>
  </si>
  <si>
    <t>nqr , Ar Risha Gravel (Jordan) - (Neogene)</t>
  </si>
  <si>
    <t>#F0E1AF</t>
  </si>
  <si>
    <t>jl1 , Mishhor and Ardon fms. - (Lower Jurassic)</t>
  </si>
  <si>
    <t>#5AFAF5</t>
  </si>
  <si>
    <t>tr2 , Saharonim Fm. - (Middle Triassic)</t>
  </si>
  <si>
    <t>#8F9FBF</t>
  </si>
  <si>
    <t>tr1 , Gevanim Fm. - (Lower Triassic)</t>
  </si>
  <si>
    <t>#9080B0</t>
  </si>
  <si>
    <t>tr , Permian and Triassic (Jordan)</t>
  </si>
  <si>
    <t>#8F608F</t>
  </si>
  <si>
    <t>or , Disi Sandstone Fm. (Jordan) - (Ordovician)</t>
  </si>
  <si>
    <t>#785E00</t>
  </si>
  <si>
    <t>cb , Umm Ishrin Sandstone Fm. (Jordan), with Salib Fm. where Burj Fm. absent - (Cambrian)</t>
  </si>
  <si>
    <t>#C2755B</t>
  </si>
  <si>
    <t>cbb , Salib Arkosic Sandstone and Burj Dolomite-Shale fms. (Jordan) - (Cambrian)</t>
  </si>
  <si>
    <t>#FF6C00</t>
  </si>
  <si>
    <t>νa , Ahaymir Volcanics (Jordan) - (Precambrian)</t>
  </si>
  <si>
    <t>#D264D2</t>
  </si>
  <si>
    <t>ju2 , Be`er Sheva and Haluza fms. - (Upper Jurassic)</t>
  </si>
  <si>
    <t>#40A191</t>
  </si>
  <si>
    <t>βqh , Hasbani Basalt - (Quaternary)</t>
  </si>
  <si>
    <t>#E03448</t>
  </si>
  <si>
    <t>βqyr , Yarda Basalt - (Quaternary)</t>
  </si>
  <si>
    <t>#E32D20</t>
  </si>
  <si>
    <t>qb , Benot Ya`akov Fm. - (Quaternary)</t>
  </si>
  <si>
    <t>#D1FFE0</t>
  </si>
  <si>
    <t>ju1 , Kidod Fm. - (Upper Jurassic)</t>
  </si>
  <si>
    <t>#408080</t>
  </si>
  <si>
    <t>βqw , Wa`ara Basalt - (Quaternary)</t>
  </si>
  <si>
    <t>#F00010</t>
  </si>
  <si>
    <t>tr1r , Ra'af Fm. - (Lower Triassic)</t>
  </si>
  <si>
    <t>#A5A5A5</t>
  </si>
  <si>
    <t>tr3 , Mohila Fm. - (Upper Triassic)</t>
  </si>
  <si>
    <t>#DCDAE1</t>
  </si>
  <si>
    <t>ny , Yafo Fm. - (Pliocene)</t>
  </si>
  <si>
    <t>#FFFF4B</t>
  </si>
  <si>
    <t>πεm , Muffaraqad Conglomerate (Jordan) - (Precambrian)</t>
  </si>
  <si>
    <t>#99AB22</t>
  </si>
  <si>
    <t>γf , Finan Granite (Jordan) - (Precambrian)</t>
  </si>
  <si>
    <t>#C83232</t>
  </si>
  <si>
    <t>γ , Elat Granite, Roded Granite Porphyry; Timna Granite Porphyry - (Precambrian)</t>
  </si>
  <si>
    <t>#FF5EDA</t>
  </si>
  <si>
    <t>cby , Yam Suf Group - (Cambrian)</t>
  </si>
  <si>
    <t>#C8755B</t>
  </si>
  <si>
    <t>π , Rhyolitic Quartz Porphyry - (Precambrian)</t>
  </si>
  <si>
    <t>#FF3064</t>
  </si>
  <si>
    <t>μ , Elat Schist - (Precambrian)</t>
  </si>
  <si>
    <t>#4E8723</t>
  </si>
  <si>
    <t>γν , Taba Gneiss; Roded Quartz Diorite Gneiss, Schist and Migmatites - (Precambrian)</t>
  </si>
  <si>
    <t>#579627</t>
  </si>
  <si>
    <t>α , Amphibolite (metabasite) - (Precambrian)</t>
  </si>
  <si>
    <t>#7691D6</t>
  </si>
  <si>
    <t>qδr , Roded Quartz Diorite - (Precambrian)</t>
  </si>
  <si>
    <t>#FF4BA0</t>
  </si>
  <si>
    <t>cb1 , Amudei Shelomo and Timna fms. - (Cambrian)</t>
  </si>
  <si>
    <t>#FF6C0A</t>
  </si>
  <si>
    <t>cb2 , Shehoret and Netafim fms. - (Cambrian)</t>
  </si>
  <si>
    <t>#C27555</t>
  </si>
  <si>
    <t>πc , Elat Conglomerate, Roded Conglomerate - (Precambrian)</t>
  </si>
  <si>
    <t>#5E8A71</t>
  </si>
  <si>
    <t>βa , Andesite and Basalt flows - (Precambrian)</t>
  </si>
  <si>
    <t>#CE1141</t>
  </si>
  <si>
    <t>γγν , Granitic Gneiss - (Precambrian)</t>
  </si>
  <si>
    <t>#D95923</t>
  </si>
  <si>
    <t>γt , Timna Granite; Shahmon Granite; Yehoshafat Granite; Amram Granite Porphyry - (Precambrian)</t>
  </si>
  <si>
    <t>#D93636</t>
  </si>
  <si>
    <t>σ , Syenite, Monzonite and other intermediate rocks - (Precambrian)</t>
  </si>
  <si>
    <t>#997DB0</t>
  </si>
  <si>
    <t>δq , Qunai Diorite (Jordan) - (Precambrian)</t>
  </si>
  <si>
    <t>#C83264</t>
  </si>
  <si>
    <t>πεσ , Saramouj Conglomerate and Hayalla Fm. (Jordan) - (Precambrian)</t>
  </si>
  <si>
    <t>#B4B400</t>
  </si>
  <si>
    <t>γy , Yutum Granite (Jordan) - (Precambrian)</t>
  </si>
  <si>
    <t>#EB57C8</t>
  </si>
  <si>
    <t>γs , Sammaniya Microgranite  (Jordan)- (Precambrian)</t>
  </si>
  <si>
    <t>#000096</t>
  </si>
  <si>
    <t>ju , Upper Jurassic</t>
  </si>
  <si>
    <t>#3F8F7F</t>
  </si>
  <si>
    <t>δ , Gabbro, diorite and other basic rocks - (Precambrian)</t>
  </si>
  <si>
    <t>#50785A</t>
  </si>
  <si>
    <t>μm , Minshar Monzogranite (Jordan) - (Precambrian)</t>
  </si>
  <si>
    <t>#876E96</t>
  </si>
  <si>
    <t>νg , Ghuwayr Volcanics (Jordan) - (Precambrian)</t>
  </si>
  <si>
    <t>#8C555F</t>
  </si>
  <si>
    <t>πu , Urf Porphyry (Jordan) - (Precambrian)</t>
  </si>
  <si>
    <t>#5F678F</t>
  </si>
  <si>
    <t>γth , Thaur Gabbro  (Jordan) - (Precambrian)</t>
  </si>
  <si>
    <t>#467878</t>
  </si>
  <si>
    <t>δr , Rachel Hornblende Quartz Diorite (Jordan) - (Precambrian)</t>
  </si>
  <si>
    <t>#147896</t>
  </si>
  <si>
    <t>γδr , Rumman Granodiorite  (Jordan)- (Precambrian)</t>
  </si>
  <si>
    <t>#50BA93</t>
  </si>
  <si>
    <t>τd , Darba Tonalitic  (Jordan) - (Precambrian)</t>
  </si>
  <si>
    <t>#5A785A</t>
  </si>
  <si>
    <t>μr , Rahma Foliated Granitoid (Jordan) - (Precambrian)</t>
  </si>
  <si>
    <t>#961E3C</t>
  </si>
  <si>
    <t>μs , Abu Saq`a Schist (Jordan) - (Precambrian)</t>
  </si>
  <si>
    <t>#387540</t>
  </si>
  <si>
    <t>μh , Duhayla Hornblendite (Jordan) - (Precambrian)</t>
  </si>
  <si>
    <t>#007878</t>
  </si>
  <si>
    <t>γνb , Abu Barqa Metasediments; Buseinat Gneiss (Jordan) - (Precambrian)</t>
  </si>
  <si>
    <t>#43751E</t>
  </si>
  <si>
    <t>1.1.5-7.1</t>
  </si>
  <si>
    <t>1.1.8-10.1</t>
  </si>
  <si>
    <t>GSI_code</t>
  </si>
  <si>
    <t>GSI_comm</t>
  </si>
  <si>
    <t>Not exact</t>
  </si>
  <si>
    <t>color only</t>
  </si>
  <si>
    <t>#787878</t>
  </si>
  <si>
    <t>#F6CECE</t>
  </si>
  <si>
    <t>#F5DA81</t>
  </si>
  <si>
    <t>#ACFA58</t>
  </si>
  <si>
    <t>#FF0BF0</t>
  </si>
  <si>
    <t>#646464</t>
  </si>
  <si>
    <t>#FFFFFF</t>
  </si>
  <si>
    <t>#828282</t>
  </si>
  <si>
    <t>#F6B0B0</t>
  </si>
  <si>
    <t>#F6A6A6</t>
  </si>
  <si>
    <t>#F69292</t>
  </si>
  <si>
    <t>#F68888</t>
  </si>
  <si>
    <t>#F67E7E</t>
  </si>
  <si>
    <t>#878077</t>
  </si>
  <si>
    <t>#F01464</t>
  </si>
  <si>
    <t>#E61E00</t>
  </si>
  <si>
    <t>#D23200</t>
  </si>
  <si>
    <t>#DC28A0</t>
  </si>
  <si>
    <t>#D23214</t>
  </si>
  <si>
    <t>#C83C1E</t>
  </si>
  <si>
    <t>#BE4628</t>
  </si>
  <si>
    <t>#B45032</t>
  </si>
  <si>
    <t>#AA5A3C</t>
  </si>
  <si>
    <t>#A06446</t>
  </si>
  <si>
    <t>#F576A0</t>
  </si>
  <si>
    <t>#E1761E</t>
  </si>
  <si>
    <t>#8A7940</t>
  </si>
  <si>
    <t>#80835E</t>
  </si>
  <si>
    <t>#7B797B</t>
  </si>
  <si>
    <t>#84D280</t>
  </si>
  <si>
    <t>#7BC832</t>
  </si>
  <si>
    <t>#FA6464</t>
  </si>
  <si>
    <t>#C8C882</t>
  </si>
  <si>
    <t>#C8C8C8</t>
  </si>
  <si>
    <t>#C89664</t>
  </si>
  <si>
    <t>#AAAAAA</t>
  </si>
  <si>
    <t>#98E66C</t>
  </si>
  <si>
    <t>#7AC876</t>
  </si>
  <si>
    <t>#84BE80</t>
  </si>
  <si>
    <t>#7AB476</t>
  </si>
  <si>
    <t>#84AA80</t>
  </si>
  <si>
    <t>#7AA076</t>
  </si>
  <si>
    <t>#7A8C76</t>
  </si>
  <si>
    <t>#848280</t>
  </si>
  <si>
    <t>#CD8E33</t>
  </si>
  <si>
    <t>#6E877E</t>
  </si>
  <si>
    <t>#787D88</t>
  </si>
  <si>
    <t>#82877E</t>
  </si>
  <si>
    <t>#B94679</t>
  </si>
  <si>
    <t>#A55A86</t>
  </si>
  <si>
    <t>#9B647C</t>
  </si>
  <si>
    <t>#916E86</t>
  </si>
  <si>
    <t>#141414</t>
  </si>
  <si>
    <t>#1E1E1E</t>
  </si>
  <si>
    <t>#323232</t>
  </si>
  <si>
    <t>#C4AF76</t>
  </si>
  <si>
    <t>#F2E85D</t>
  </si>
  <si>
    <t>#F6F096</t>
  </si>
  <si>
    <t>#96E3F6</t>
  </si>
  <si>
    <t>#E8D9B0</t>
  </si>
  <si>
    <t>#E6E8B0</t>
  </si>
  <si>
    <t>#AEE8B8</t>
  </si>
  <si>
    <t>#5CA24C</t>
  </si>
  <si>
    <t>#C320C3</t>
  </si>
  <si>
    <t>#54899F</t>
  </si>
  <si>
    <t>#E43A20</t>
  </si>
  <si>
    <t>#E90C10</t>
  </si>
  <si>
    <t>#243131</t>
  </si>
  <si>
    <t>#B82CAB9</t>
  </si>
  <si>
    <t>#928D47</t>
  </si>
  <si>
    <t>#F4EC79</t>
  </si>
  <si>
    <t>#C6E9C6</t>
  </si>
  <si>
    <t>#BFDED3</t>
  </si>
  <si>
    <t>#E7E0B0</t>
  </si>
  <si>
    <t>#CAE8B4</t>
  </si>
  <si>
    <t>#85C582</t>
  </si>
  <si>
    <t>#8F6187</t>
  </si>
  <si>
    <t>#8B54B1</t>
  </si>
  <si>
    <t>#9C615F</t>
  </si>
  <si>
    <t>#796570</t>
  </si>
  <si>
    <t>#196079</t>
  </si>
  <si>
    <t>#7517E75</t>
  </si>
  <si>
    <t>#949164</t>
  </si>
  <si>
    <t>#ADC9B6</t>
  </si>
  <si>
    <t>#EFE4A3</t>
  </si>
  <si>
    <t>#BEE5D3</t>
  </si>
  <si>
    <t>#CBE0B4</t>
  </si>
  <si>
    <t>#A1C57E</t>
  </si>
  <si>
    <t>#B884BD</t>
  </si>
  <si>
    <t>#589575</t>
  </si>
  <si>
    <t>#D32D71</t>
  </si>
  <si>
    <t>#318CB0</t>
  </si>
  <si>
    <t>#843528</t>
  </si>
  <si>
    <t>#2B3131</t>
  </si>
  <si>
    <t>#BE1BC97</t>
  </si>
  <si>
    <t>#648A94</t>
  </si>
  <si>
    <t>#D6C493</t>
  </si>
  <si>
    <t>#ECE886</t>
  </si>
  <si>
    <t>#A2E5D7</t>
  </si>
  <si>
    <t>#A2BD7E</t>
  </si>
  <si>
    <t>#D484B9</t>
  </si>
  <si>
    <t>#81B8AB</t>
  </si>
  <si>
    <t>#A06E36</t>
  </si>
  <si>
    <t>#6858C2</t>
  </si>
  <si>
    <t>#3C5D68</t>
  </si>
  <si>
    <t>#206179</t>
  </si>
  <si>
    <t>#747053</t>
  </si>
  <si>
    <t>#D51D98B</t>
  </si>
  <si>
    <t>#8D8571</t>
  </si>
  <si>
    <t>#D5CB93</t>
  </si>
  <si>
    <t>#D0E88A</t>
  </si>
  <si>
    <t>#A9C971</t>
  </si>
  <si>
    <t>#D57CB9</t>
  </si>
  <si>
    <t>#9DB8A7</t>
  </si>
  <si>
    <t>#C9916C</t>
  </si>
  <si>
    <t>#359986</t>
  </si>
  <si>
    <t>#73287A</t>
  </si>
  <si>
    <t>#8B3629</t>
  </si>
  <si>
    <t>#699F9B</t>
  </si>
  <si>
    <t>#8B8C47</t>
  </si>
  <si>
    <t>#D71DDA7</t>
  </si>
  <si>
    <t>#8C8D71</t>
  </si>
  <si>
    <t>#B9CB97</t>
  </si>
  <si>
    <t>#A7C554</t>
  </si>
  <si>
    <t>#DC88AC</t>
  </si>
  <si>
    <t>#75B6CA</t>
  </si>
  <si>
    <t>#E59168</t>
  </si>
  <si>
    <t>#5EBCBC</t>
  </si>
  <si>
    <t>#40693E</t>
  </si>
  <si>
    <t>#435D68</t>
  </si>
  <si>
    <t>#D4744B</t>
  </si>
  <si>
    <t>#80BC8F</t>
  </si>
  <si>
    <t>#8D9063</t>
  </si>
  <si>
    <t>#A71D6D7</t>
  </si>
  <si>
    <t>#708D75</t>
  </si>
  <si>
    <t>#90A861</t>
  </si>
  <si>
    <t>#DA8490</t>
  </si>
  <si>
    <t>#A5BC9A</t>
  </si>
  <si>
    <t>#BD8E8B</t>
  </si>
  <si>
    <t>#7BB4B8</t>
  </si>
  <si>
    <t>#698C74</t>
  </si>
  <si>
    <t>#7A297A</t>
  </si>
  <si>
    <t>#8C9C8A</t>
  </si>
  <si>
    <t>#EB913E</t>
  </si>
  <si>
    <t>#82C0AB</t>
  </si>
  <si>
    <t>#5D8A93</t>
  </si>
  <si>
    <t>#D01D1B4</t>
  </si>
  <si>
    <t>#476A3F</t>
  </si>
  <si>
    <t>#C3679C</t>
  </si>
  <si>
    <t>#A3B87E</t>
  </si>
  <si>
    <t>#ED955B</t>
  </si>
  <si>
    <t>#52B9DB</t>
  </si>
  <si>
    <t>#868570</t>
  </si>
  <si>
    <t>#858C70</t>
  </si>
  <si>
    <t>#B31D9B8</t>
  </si>
  <si>
    <t>#E68968</t>
  </si>
  <si>
    <t>#7ABCB8</t>
  </si>
  <si>
    <t>#8A1B682</t>
  </si>
  <si>
    <t>#D2ECA7</t>
  </si>
  <si>
    <t>#79C2A1</t>
  </si>
  <si>
    <t>#BD175BE</t>
  </si>
  <si>
    <t>#EDE086</t>
  </si>
  <si>
    <t>#EEECA3</t>
  </si>
  <si>
    <t>#861A9AC</t>
  </si>
  <si>
    <t>#DDCF86</t>
  </si>
  <si>
    <t>#C4E5A9</t>
  </si>
  <si>
    <t>#CE1826C</t>
  </si>
  <si>
    <t>#DC2828</t>
  </si>
  <si>
    <t>#DCDC28</t>
  </si>
  <si>
    <t>#FFF</t>
  </si>
  <si>
    <t>#1414BE</t>
  </si>
  <si>
    <t>#289696</t>
  </si>
  <si>
    <t>#C828C8</t>
  </si>
  <si>
    <t>#9683BB</t>
  </si>
  <si>
    <t>#A78228</t>
  </si>
  <si>
    <t>#A0A1A2</t>
  </si>
  <si>
    <t>#B4B4B4</t>
  </si>
  <si>
    <t>#F6CE79</t>
  </si>
  <si>
    <t>#F6CE7A</t>
  </si>
  <si>
    <t>#F6CE7B</t>
  </si>
  <si>
    <t>#F6CE7C</t>
  </si>
  <si>
    <t>#F6CE7D</t>
  </si>
  <si>
    <t>#F6CE7E</t>
  </si>
  <si>
    <t>#F5C981</t>
  </si>
  <si>
    <t>#F6CA82</t>
  </si>
  <si>
    <t>#F7CB83</t>
  </si>
  <si>
    <t>#F8CC84</t>
  </si>
  <si>
    <t>#FF8010</t>
  </si>
  <si>
    <t>#FF8020</t>
  </si>
  <si>
    <t>#FF8030</t>
  </si>
  <si>
    <t>#3ADF00</t>
  </si>
  <si>
    <t>#3AC800</t>
  </si>
  <si>
    <t>#14C800</t>
  </si>
  <si>
    <t>#B43140</t>
  </si>
  <si>
    <t>#86B440</t>
  </si>
  <si>
    <t>#86B450</t>
  </si>
  <si>
    <t>#86B460</t>
  </si>
  <si>
    <t>#86B470</t>
  </si>
  <si>
    <t>#86B480</t>
  </si>
  <si>
    <t>#ACFA59</t>
  </si>
  <si>
    <t>#ACFA5A</t>
  </si>
  <si>
    <t>#ACFA5B</t>
  </si>
  <si>
    <t>#ACFA5C</t>
  </si>
  <si>
    <t>#ACFA5D</t>
  </si>
  <si>
    <t>#ACFA5E</t>
  </si>
  <si>
    <t>#ACFA5F</t>
  </si>
  <si>
    <t>#ACFA60</t>
  </si>
  <si>
    <t>#ACFA61</t>
  </si>
  <si>
    <t>#ACFA62</t>
  </si>
  <si>
    <t>#ACFA63</t>
  </si>
  <si>
    <t>#ACFA64</t>
  </si>
  <si>
    <t>#ACFA65</t>
  </si>
  <si>
    <t>#ACFA66</t>
  </si>
  <si>
    <t>#DF7410</t>
  </si>
  <si>
    <t>#DF7420</t>
  </si>
  <si>
    <t>#DF7430</t>
  </si>
  <si>
    <t>#DF7440</t>
  </si>
  <si>
    <t>#DF7450</t>
  </si>
  <si>
    <t>#DF7460</t>
  </si>
  <si>
    <t>#DF7470</t>
  </si>
  <si>
    <t>#DF7480</t>
  </si>
  <si>
    <t>#DF7490</t>
  </si>
  <si>
    <t>#DF74A0</t>
  </si>
  <si>
    <t>#DF74B0</t>
  </si>
  <si>
    <t>#1DFD70</t>
  </si>
  <si>
    <t>#2DFD70</t>
  </si>
  <si>
    <t>#3DFD70</t>
  </si>
  <si>
    <t>#4DFD70</t>
  </si>
  <si>
    <t>#5DFD70</t>
  </si>
  <si>
    <t>#6DFD70</t>
  </si>
  <si>
    <t>#7DFD70</t>
  </si>
  <si>
    <t>#8DFD70</t>
  </si>
  <si>
    <t>#9DFD70</t>
  </si>
  <si>
    <t>#ADFD70</t>
  </si>
  <si>
    <t>#BDFD70</t>
  </si>
  <si>
    <t>#CDFD70</t>
  </si>
  <si>
    <t>#DDFD70</t>
  </si>
  <si>
    <t>#1001C0</t>
  </si>
  <si>
    <t>#1012C1</t>
  </si>
  <si>
    <t>#1023C2</t>
  </si>
  <si>
    <t>#1034C3</t>
  </si>
  <si>
    <t>#1045C4</t>
  </si>
  <si>
    <t>#1056C5</t>
  </si>
  <si>
    <t>#1067C6</t>
  </si>
  <si>
    <t>#1078C7</t>
  </si>
  <si>
    <t>#1089C8</t>
  </si>
  <si>
    <t>#100040</t>
  </si>
  <si>
    <t>#101040</t>
  </si>
  <si>
    <t>#102040</t>
  </si>
  <si>
    <t>#103040</t>
  </si>
  <si>
    <t>#104040</t>
  </si>
  <si>
    <t>#105040</t>
  </si>
  <si>
    <t>#106040</t>
  </si>
  <si>
    <t>#107040</t>
  </si>
  <si>
    <t>#108040</t>
  </si>
  <si>
    <t>#109040</t>
  </si>
  <si>
    <t>#FF8040</t>
  </si>
  <si>
    <t>#FF8050</t>
  </si>
  <si>
    <t>#FF8060</t>
  </si>
  <si>
    <t>#FF8070</t>
  </si>
  <si>
    <t>#FF8080</t>
  </si>
  <si>
    <t>#FF8090</t>
  </si>
  <si>
    <t>#FF80A0</t>
  </si>
  <si>
    <t>#FF80B0</t>
  </si>
  <si>
    <t>#7CDA81</t>
  </si>
  <si>
    <t>#7DDA81</t>
  </si>
  <si>
    <t>#7EDA81</t>
  </si>
  <si>
    <t>#7FDA81</t>
  </si>
  <si>
    <t>#80DA81</t>
  </si>
  <si>
    <t>#81DA81</t>
  </si>
  <si>
    <t>#82DA81</t>
  </si>
  <si>
    <t>#83DA81</t>
  </si>
  <si>
    <t>#84DA81</t>
  </si>
  <si>
    <t>#85DA81</t>
  </si>
  <si>
    <t>#86DA81</t>
  </si>
  <si>
    <t>#87DA81</t>
  </si>
  <si>
    <t>#FF8043</t>
  </si>
  <si>
    <t>#FF8044</t>
  </si>
  <si>
    <t>#FF8045</t>
  </si>
  <si>
    <t>#FF8046</t>
  </si>
  <si>
    <t>#FF8047</t>
  </si>
  <si>
    <t>#FF8048</t>
  </si>
  <si>
    <t>#FF8049</t>
  </si>
  <si>
    <t>#FF804A</t>
  </si>
  <si>
    <t>#FF804B</t>
  </si>
  <si>
    <t>#FF804C</t>
  </si>
  <si>
    <t>#FF804D</t>
  </si>
  <si>
    <t>#FF804E</t>
  </si>
  <si>
    <t>#FF804F</t>
  </si>
  <si>
    <t>#FF8051</t>
  </si>
  <si>
    <t>c("Not Classified" ="#F5F5F5",</t>
  </si>
  <si>
    <t>MainDatabaseCode</t>
  </si>
  <si>
    <t>MainDatabaseTable</t>
  </si>
  <si>
    <t>GROUPS</t>
  </si>
  <si>
    <t>FORMA</t>
  </si>
  <si>
    <t>No ID</t>
  </si>
  <si>
    <t>LITO</t>
  </si>
  <si>
    <t>PALEO</t>
  </si>
  <si>
    <t>"DED SEA-KURKAR-HULA"="#C7EBFA",</t>
  </si>
  <si>
    <t>"SAQIYE-KEFAR GELA'DI"="#F3CC00",</t>
  </si>
  <si>
    <t>"AVEDAT"="#FFD27B",</t>
  </si>
  <si>
    <t>"MOUNT SCOPUS"="#C2B600",</t>
  </si>
  <si>
    <t>"JUDEA UPPER"="#55BB48",</t>
  </si>
  <si>
    <t>"JUDEA AQUICLOD"="#FFCC71",</t>
  </si>
  <si>
    <t>"JUDEA LOWER"="#82B000",</t>
  </si>
  <si>
    <t>"JUDEA GROUP UNDIV"="#55BB48",</t>
  </si>
  <si>
    <t>"KURNUB"="#BDD7CC",</t>
  </si>
  <si>
    <t>"ARAD"="#7ECCBC",</t>
  </si>
  <si>
    <t>"RAMON"="#CFA6CF",</t>
  </si>
  <si>
    <t>"NEGEV"="#D18717",</t>
  </si>
  <si>
    <t>"YAM SUF"="#FF8000",</t>
  </si>
  <si>
    <t>"TASHTIT"="#646464",</t>
  </si>
  <si>
    <t>"Not Clear / Loss"="#FFFFFF",</t>
  </si>
  <si>
    <t>"Not Classified"="#FFFFFF",</t>
  </si>
  <si>
    <t>"SAHAF-ALLUVIUM"="#F5F5F5",</t>
  </si>
  <si>
    <t>"Zemah"="#F5F5F5",</t>
  </si>
  <si>
    <t>"Notera"="#CACACC",</t>
  </si>
  <si>
    <t>"Ded Sea Riff Valley"="#828282",</t>
  </si>
  <si>
    <t>"Sabkha"="#787878",</t>
  </si>
  <si>
    <t>"Dune"="#828282",</t>
  </si>
  <si>
    <t>"Lisan"="#FDF8D7",</t>
  </si>
  <si>
    <t>"Samara"="#66A384",</t>
  </si>
  <si>
    <t>"Mazar"="#F6B0B0",</t>
  </si>
  <si>
    <t>"Arava Cgl"="#F6A6A6",</t>
  </si>
  <si>
    <t>"Amora"="#F3CEA0",</t>
  </si>
  <si>
    <t>"Ein Yahav Volc"="#F69292",</t>
  </si>
  <si>
    <t>"Sedom"="#8DFFAB",</t>
  </si>
  <si>
    <t>"Zeit  (RAS MALA'AB Gr)"="#F67E7E",</t>
  </si>
  <si>
    <t>"S.Gharib (RAS MALA'AB Gr)"="#F68888",</t>
  </si>
  <si>
    <t>"Belayim (RAS MALA'AB Gr)"="#F67E7E",</t>
  </si>
  <si>
    <t>"Kareem (RAS MALA'AB Gr)"="#F68888",</t>
  </si>
  <si>
    <t>"Rudis (Ghar Andal Gr)"="#F67E7E",</t>
  </si>
  <si>
    <t>"Nukhal (Ghar Andal Gr)"="#F68888",</t>
  </si>
  <si>
    <t>"Heimur"="#F67E7E",</t>
  </si>
  <si>
    <t>"Raham Cgl"="#F68888",</t>
  </si>
  <si>
    <t>"Hazeva"="#FFF300",</t>
  </si>
  <si>
    <t>"Alluviom Dand Duns, Feefs Sabkhae, Lake Deposits"="#F68888",</t>
  </si>
  <si>
    <t>"Pleshet"="#E1D7EB",</t>
  </si>
  <si>
    <t>"Ahuzam"="#E9E3DC",</t>
  </si>
  <si>
    <t>"Golan Volcanics"="#FF5F17",</t>
  </si>
  <si>
    <t>"Ortal Volcanics"="#F3645C",</t>
  </si>
  <si>
    <t>"Ubediye"="#C7EBFA",</t>
  </si>
  <si>
    <t>"Hazor"="#E9E1D7",</t>
  </si>
  <si>
    <t>"Ruman Volcanics"="#E64097",</t>
  </si>
  <si>
    <t>"Yafo"="#F2FF94",</t>
  </si>
  <si>
    <t>"Noa"="#F3CC00",</t>
  </si>
  <si>
    <t>"Rishon Lezion Volcs."="#A500A5",</t>
  </si>
  <si>
    <t>"Afridar Clastics"="#F3CC00",</t>
  </si>
  <si>
    <t>"Afiq"="#F3CC00",</t>
  </si>
  <si>
    <t>"Bit Nir"="#E9D766",</t>
  </si>
  <si>
    <t>"Sheva"="#0E3BA0",</t>
  </si>
  <si>
    <t>"shiqma"="#F3CC00",</t>
  </si>
  <si>
    <t>"Mavqim"="#F3CC00",</t>
  </si>
  <si>
    <t>"Ziqim"="#F3CC00",</t>
  </si>
  <si>
    <t>"Ziqlag"="#FFFF00",</t>
  </si>
  <si>
    <t>"National Park Volcs."="#A500A5",</t>
  </si>
  <si>
    <t>"Nahal'oz Clast"="#878077",</t>
  </si>
  <si>
    <t>"Lakish"="#A2FCC4",</t>
  </si>
  <si>
    <t>"Bit Guvrin"="#AB9F50",</t>
  </si>
  <si>
    <t>"Ashdod Clastics"="#F3CC00",</t>
  </si>
  <si>
    <t>"Cover Basalt"="#EE3124",</t>
  </si>
  <si>
    <t>"Gesher"="#E9D9AB",</t>
  </si>
  <si>
    <t>"Bira"="#F5F3CC",</t>
  </si>
  <si>
    <t>"Faggas Tuff"="#F01464",</t>
  </si>
  <si>
    <t>"Um Sabuna Cgl"="#E61E00",</t>
  </si>
  <si>
    <t>"Intran Basalt"="#D23200",</t>
  </si>
  <si>
    <t>"Hordos"="#FFF300",</t>
  </si>
  <si>
    <t>"Lower Basalt"="#4187B5",</t>
  </si>
  <si>
    <t>"E'n Gev"="#E61E00",</t>
  </si>
  <si>
    <t>"Susita"="#DC28A0",</t>
  </si>
  <si>
    <t>"Fiq"="#D23214",</t>
  </si>
  <si>
    <t>"Suez Volc"="#C83C1E",</t>
  </si>
  <si>
    <t>"Abu Zamina"="#BE4628",</t>
  </si>
  <si>
    <t>"Alluviom Dand Duns, Feefs Sabkhae, Lake Deposits"="#B45032",</t>
  </si>
  <si>
    <t>"Qeziot"="#AA5A3C",</t>
  </si>
  <si>
    <t>"Taka"="#A06446",</t>
  </si>
  <si>
    <t>"Metrad"="#F576A0",</t>
  </si>
  <si>
    <t>"Horsha"="#FFE38D",</t>
  </si>
  <si>
    <t>"Nahal Yater"="#E1761E",</t>
  </si>
  <si>
    <t>"Nizzana"="#FFD478",</t>
  </si>
  <si>
    <t>"Mor"="#FFE364",</t>
  </si>
  <si>
    <t>"Maresha"="#FFD250",</t>
  </si>
  <si>
    <t>"Adulam"="#FFE364",</t>
  </si>
  <si>
    <t>"Bar Kokhaba"="#FAA450",</t>
  </si>
  <si>
    <t>"Timrat"="#FFD478",</t>
  </si>
  <si>
    <t>"Taqiye"="#F3CC00",</t>
  </si>
  <si>
    <t>"Ghareb"="#EEEB66",</t>
  </si>
  <si>
    <t>"Hatrurim"="#D7E3D5",</t>
  </si>
  <si>
    <t>"Mishash"="#D9551F",</t>
  </si>
  <si>
    <t>"Menuha"="#C2B600",</t>
  </si>
  <si>
    <t>"Sayyarim"="#8A7940",</t>
  </si>
  <si>
    <t>"Zihor"="#6BC200",</t>
  </si>
  <si>
    <t>"E'in Zetim"="#C2B600",</t>
  </si>
  <si>
    <t>"Bat Shelomo Tuff"="#80835E",</t>
  </si>
  <si>
    <t>"Bina"="#80FF00",</t>
  </si>
  <si>
    <t>"Dalyya"="#D1FFEB",</t>
  </si>
  <si>
    <t>"Weradim"="#CCFF8F",</t>
  </si>
  <si>
    <t>"Kfar Shaul"="#A3FF82",</t>
  </si>
  <si>
    <t>"Aminadav"="#A4FF83",</t>
  </si>
  <si>
    <t>"Nezer"="#80FF00",</t>
  </si>
  <si>
    <t>"Gerofit (Wata)"="#80FF00",</t>
  </si>
  <si>
    <t>"Shivta"="#C2D931",</t>
  </si>
  <si>
    <t>"Derorim"="#5F9F00",</t>
  </si>
  <si>
    <t>"Ora Shale (Abu Qada)"="#CCAE6C",</t>
  </si>
  <si>
    <t>"Tamar"="#CCFF8F",</t>
  </si>
  <si>
    <t>"Avnon"="#B7EB00",</t>
  </si>
  <si>
    <t>"Yotvata"="#7B797B",</t>
  </si>
  <si>
    <t>"Zafit"="#A4FF83",</t>
  </si>
  <si>
    <t>"Yirka"="#FFC7A9",</t>
  </si>
  <si>
    <t>"Sakhnin"="#CCFF8F",</t>
  </si>
  <si>
    <t>"Sumaq"="#B7EB00",</t>
  </si>
  <si>
    <t>"Muhraka"="#CCFF8F",</t>
  </si>
  <si>
    <t>"Yanuh"="#CFDE9A",</t>
  </si>
  <si>
    <t>"Zikharon"="#EB0670",</t>
  </si>
  <si>
    <t>"Arqan"="#7BC832",</t>
  </si>
  <si>
    <t>"Moza"="#FFCC71",</t>
  </si>
  <si>
    <t>"Bet Meir"="#AB9F50",</t>
  </si>
  <si>
    <t>"Dir Hanna"="#CDE300",</t>
  </si>
  <si>
    <t>"Um el Fahm Tuff"="#FA6464",</t>
  </si>
  <si>
    <t>"E'in Yorqe'am"="#FFCC71",</t>
  </si>
  <si>
    <t>"Kesalon"="#FFC7A9",</t>
  </si>
  <si>
    <t>"Soreq"="#CFDE9A",</t>
  </si>
  <si>
    <t>"Givat Ye'arim"="#91B000",</t>
  </si>
  <si>
    <t>"Kefira"="#B0B678",</t>
  </si>
  <si>
    <t>"Qatana"="#BDD7CC",</t>
  </si>
  <si>
    <t>"E'in Qinya"="#BDD7CC",</t>
  </si>
  <si>
    <t>"Tamon"="#C89664",</t>
  </si>
  <si>
    <t>"Yagor"="#91B000",</t>
  </si>
  <si>
    <t>"Yakhini"="#82B000",</t>
  </si>
  <si>
    <t>"Talme Yafe"="#BDD7CC",</t>
  </si>
  <si>
    <t>"Zalmon"="#82B000",</t>
  </si>
  <si>
    <t>"Item"="#C8C882",</t>
  </si>
  <si>
    <t>"Ziv"="#C8C8C8",</t>
  </si>
  <si>
    <t>"Havyon"="#91B000",</t>
  </si>
  <si>
    <t>"Hazera"="#AAAAAA",</t>
  </si>
  <si>
    <t>"Kamon"="#91B000",</t>
  </si>
  <si>
    <t>"Hidra&amp;Rama"="#BDD7CC",</t>
  </si>
  <si>
    <t>"Jundeia Chalk"="#98E66C",</t>
  </si>
  <si>
    <t>"Shefeya Tuff"="#FF8D7A",</t>
  </si>
  <si>
    <t>"Khuriebe Chalk"="#84D280",</t>
  </si>
  <si>
    <t>"Um A Tuss Tuff"="#7AC876",</t>
  </si>
  <si>
    <t>"Bet Oren LST"="#84BE80",</t>
  </si>
  <si>
    <t>"Furadis Tuff"="#7AB476",</t>
  </si>
  <si>
    <t>"I'sfiye Chalk"="#84AA80",</t>
  </si>
  <si>
    <t>"Igzim Tuff"="#7AA076",</t>
  </si>
  <si>
    <t>"Negba"="#55BB48",</t>
  </si>
  <si>
    <t>"Charmel Chalk Complex"="#7A8C76",</t>
  </si>
  <si>
    <t>"Charmel Tuff Complex"="#848280",</t>
  </si>
  <si>
    <t>"Uza - Upper"="#BDD7CC",</t>
  </si>
  <si>
    <t>"Uza - Lower"="#BDD7CC",</t>
  </si>
  <si>
    <t>"Malhata - Upper"="#BDD7CC",</t>
  </si>
  <si>
    <t>"Malhata - Medial"="#BDD7CC",</t>
  </si>
  <si>
    <t>"Malhata - Lower"="#CD8E33",</t>
  </si>
  <si>
    <t>"Ramon Basalt"="#E64097",</t>
  </si>
  <si>
    <t>"Dargot"="#BDD7CC",</t>
  </si>
  <si>
    <t>"Zeweira - Upper"="#BDD7CC",</t>
  </si>
  <si>
    <t>"LC-3"="#A57A5B",</t>
  </si>
  <si>
    <t>"Zeweira - Lower"="#9B8465",</t>
  </si>
  <si>
    <t>"Hatira"="#CAD7A6",</t>
  </si>
  <si>
    <t>"Tamun"="#A1D6B5",</t>
  </si>
  <si>
    <t>"Ein El Assad"="#08D800",</t>
  </si>
  <si>
    <t>"Telamim"="#BDD7CC",</t>
  </si>
  <si>
    <t>"Banas/Tiasser Basalt"="#BDD7CC",</t>
  </si>
  <si>
    <t>"Helez"="#BDD7CC",</t>
  </si>
  <si>
    <t>"Tayasir Volcanics"="#A500A5",</t>
  </si>
  <si>
    <t>"Ramim"="#BDD7CC",</t>
  </si>
  <si>
    <t>"Gevar A'm"="#BDD7CC",</t>
  </si>
  <si>
    <t>"ARAD"="#3C7DC4",</t>
  </si>
  <si>
    <t>"Yam"="#C7EBFA",</t>
  </si>
  <si>
    <t>"Delta"="#C7EBFA",</t>
  </si>
  <si>
    <t>"Haluza"="#A0C4DA",</t>
  </si>
  <si>
    <t>"Haifa Bay"="#C7EBFA",</t>
  </si>
  <si>
    <t>"Beer Sheva"="#0E3BA0",</t>
  </si>
  <si>
    <t>"Kidod"="#7ACCC7",</t>
  </si>
  <si>
    <t>"Haifa Upper"="#6E877E",</t>
  </si>
  <si>
    <t>"Deborah Volcanics"="#A500A5",</t>
  </si>
  <si>
    <t>"Nir A'm"="#C7EBFA",</t>
  </si>
  <si>
    <t>"Zohar"="#7ECCBC",</t>
  </si>
  <si>
    <t>"Hermon Upper"="#7ECCBC",</t>
  </si>
  <si>
    <t>"Sherif"="#C7EBFA",</t>
  </si>
  <si>
    <t>"Karmon"="#C7EBFA",</t>
  </si>
  <si>
    <t>"Safa"="#787D88",</t>
  </si>
  <si>
    <t>"Hermon Middel"="#82877E",</t>
  </si>
  <si>
    <t>"Daya"="#C7EBFA",</t>
  </si>
  <si>
    <t>"Bir Maghara"="#82877E",</t>
  </si>
  <si>
    <t>"Mahmal"="#787D88",</t>
  </si>
  <si>
    <t>"Shederot"="#C73232",</t>
  </si>
  <si>
    <t>"Inmar Upper"="#9CC2BB",</t>
  </si>
  <si>
    <t>"Rosh Pina"="#C7EBFA",</t>
  </si>
  <si>
    <t>"Barnea"="#C7EBFA",</t>
  </si>
  <si>
    <t>"Haifa"="#C7EBFA",</t>
  </si>
  <si>
    <t>"Qeren"="#C7EBFA",</t>
  </si>
  <si>
    <t>"Asher Volcanics"="#A500A5",</t>
  </si>
  <si>
    <t>"Hermon Lower"="#787D88",</t>
  </si>
  <si>
    <t>"Inmar Lower"="#9CC2BB",</t>
  </si>
  <si>
    <t>"Nirim Upper"="#787D88",</t>
  </si>
  <si>
    <t>"Ardon"="#71CCD2",</t>
  </si>
  <si>
    <t>"Dayka"="#C7EBFA",</t>
  </si>
  <si>
    <t>"Mish'hor"="#71CCD2",</t>
  </si>
  <si>
    <t>"RAMON"="#FF0BF0",</t>
  </si>
  <si>
    <t>"Shefayim"="#C7EBFA",</t>
  </si>
  <si>
    <t>"Mohilla"="#CFA6CF",</t>
  </si>
  <si>
    <t>"Saharonim"="#FACCD2",</t>
  </si>
  <si>
    <t>"Erez Conglomerate"="#C7EBFA",</t>
  </si>
  <si>
    <t>"Gevanim"="#C7EBFA",</t>
  </si>
  <si>
    <t>"Raa'f"="#C7EBFA",</t>
  </si>
  <si>
    <t>"Budra - RAMON"="#B94679",</t>
  </si>
  <si>
    <t>"NEGEV"="#FF0400",</t>
  </si>
  <si>
    <t>"Zafir"="#C7EBFA",</t>
  </si>
  <si>
    <t>"Yamin"="#C7EBFA",</t>
  </si>
  <si>
    <t>"Budra - NEGEV"="#E11E5E",</t>
  </si>
  <si>
    <t>"Shezaf"="#C7EBFA",</t>
  </si>
  <si>
    <t>"Karmia Shale"="#C7EBFA",</t>
  </si>
  <si>
    <t>"Arqov"="#A4FF83",</t>
  </si>
  <si>
    <t>"Saa'd"="#C7EBFA",</t>
  </si>
  <si>
    <t>"Zenifim"="#C7EBFA",</t>
  </si>
  <si>
    <t>"Abo Thora"="#A55A86",</t>
  </si>
  <si>
    <t>"Um Bogma"="#9B647C",</t>
  </si>
  <si>
    <t>"Gevim OP"="#916E86",</t>
  </si>
  <si>
    <t>"Netafim"="#F576A0",</t>
  </si>
  <si>
    <t>"Shehoret"="#C73232",</t>
  </si>
  <si>
    <t>"Timna'"="#E0E0AF",</t>
  </si>
  <si>
    <t>"A'mudei Shelomo"="#9C7E5F",</t>
  </si>
  <si>
    <t>"TASHTIT"="#141414",</t>
  </si>
  <si>
    <t>"Unnamea Cgl"="#1E1E1E",</t>
  </si>
  <si>
    <t>"Basement Complex"="#FACCD1",</t>
  </si>
  <si>
    <t>"Doroth Schist"="#4A94FF",</t>
  </si>
  <si>
    <t>"Clay" ="#323232",</t>
  </si>
  <si>
    <t>"Clay-Silt" ="#C4AF76",</t>
  </si>
  <si>
    <t>"Clay-Sand" ="#F2E85D",</t>
  </si>
  <si>
    <t>"Clay-Sandston" ="#F6F096",</t>
  </si>
  <si>
    <t>"Clay-Pebble/Conglomerate" ="#96E3F6",</t>
  </si>
  <si>
    <t>"Clay-Marl" ="#E8D9B0",</t>
  </si>
  <si>
    <t>"Clay-Chalk" ="#E6E8B0",</t>
  </si>
  <si>
    <t>"Clay-Limeston" ="#AEE8B8",</t>
  </si>
  <si>
    <t>"Clay-Dolomite" ="#5CA24C",</t>
  </si>
  <si>
    <t>"Clay-Basalt" ="#C320C3",</t>
  </si>
  <si>
    <t>"Clay-Cliff" ="#54899F",</t>
  </si>
  <si>
    <t>"Clay-Shales" ="#E43A20",</t>
  </si>
  <si>
    <t>"Clay-Flint/Chert" ="#E90C10",</t>
  </si>
  <si>
    <t>"Clay-Bitumen" ="#243131",</t>
  </si>
  <si>
    <t>"Clay-Evaporites" ="#B82CAB9",</t>
  </si>
  <si>
    <t>"Silt" ="#C4AF76",</t>
  </si>
  <si>
    <t>"Silt-Clay" ="#928D47",</t>
  </si>
  <si>
    <t>"Silt-Sand" ="#F4EC79",</t>
  </si>
  <si>
    <t>"Silt-Sandston" ="#C6E9C6",</t>
  </si>
  <si>
    <t>"Silt-Pebble/Conglomerate" ="#BFDED3",</t>
  </si>
  <si>
    <t>"Silt-Marl" ="#E7E0B0",</t>
  </si>
  <si>
    <t>"Silt-Chalk" ="#CAE8B4",</t>
  </si>
  <si>
    <t>"Silt-Limeston" ="#85C582",</t>
  </si>
  <si>
    <t>"Silt-Dolomite" ="#8F6187",</t>
  </si>
  <si>
    <t>"Silt-Basalt" ="#8B54B1",</t>
  </si>
  <si>
    <t>"Silt-Cliff" ="#9C615F",</t>
  </si>
  <si>
    <t>"Silt-Shales" ="#796570",</t>
  </si>
  <si>
    <t>"Silt-Flint/Chert" ="#196079",</t>
  </si>
  <si>
    <t>"Silt-Bitumen" ="#243131",</t>
  </si>
  <si>
    <t>"Silt-Evaporites" ="#7517E75",</t>
  </si>
  <si>
    <t>"Sand" ="#F2E85D",</t>
  </si>
  <si>
    <t>"Sand-Clay" ="#949164",</t>
  </si>
  <si>
    <t>"Sand-Silt" ="#ADC9B6",</t>
  </si>
  <si>
    <t>"Sand-Sandston" ="#EFE4A3",</t>
  </si>
  <si>
    <t>"Sand-Pebble/Conglomerate" ="#BEE5D3",</t>
  </si>
  <si>
    <t>"Sand-Marl" ="#CBE0B4",</t>
  </si>
  <si>
    <t>"Sand-Chalk" ="#A1C57E",</t>
  </si>
  <si>
    <t>"Sand-Limeston" ="#B884BD",</t>
  </si>
  <si>
    <t>"Sand-Dolomite" ="#589575",</t>
  </si>
  <si>
    <t>"Sand-Basalt" ="#D32D71",</t>
  </si>
  <si>
    <t>"Sand-Cliff" ="#318CB0",</t>
  </si>
  <si>
    <t>"Sand-Shales" ="#843528",</t>
  </si>
  <si>
    <t>"Sand-Flint/Chert" ="#E90C10",</t>
  </si>
  <si>
    <t>"Sand-Bitumen" ="#2B3131",</t>
  </si>
  <si>
    <t>"Sand-Evaporites" ="#BE1BC97",</t>
  </si>
  <si>
    <t>"Sandston" ="#F6F096",</t>
  </si>
  <si>
    <t>"Sandston-Clay" ="#648A94",</t>
  </si>
  <si>
    <t>"Sandston-Silt" ="#D6C493",</t>
  </si>
  <si>
    <t>"Sandston-Sand" ="#ECE886",</t>
  </si>
  <si>
    <t>"Sandston-Pebble/Conglomerate" ="#A2E5D7",</t>
  </si>
  <si>
    <t>"Sandston-Marl" ="#A2BD7E",</t>
  </si>
  <si>
    <t>"Sandston-Chalk" ="#D484B9",</t>
  </si>
  <si>
    <t>"Sandston-Limeston" ="#81B8AB",</t>
  </si>
  <si>
    <t>"Sandston-Dolomite" ="#A06E36",</t>
  </si>
  <si>
    <t>"Sandston-Basalt" ="#6858C2",</t>
  </si>
  <si>
    <t>"Sandston-Cliff" ="#3C5D68",</t>
  </si>
  <si>
    <t>"Sandston-Shales" ="#E43A20",</t>
  </si>
  <si>
    <t>"Sandston-Flint/Chert" ="#206179",</t>
  </si>
  <si>
    <t>"Sandston-Bitumen" ="#747053",</t>
  </si>
  <si>
    <t>"Sandston-Evaporites" ="#D51D98B",</t>
  </si>
  <si>
    <t>"Pebble/Conglomerate" ="#96E3F6",</t>
  </si>
  <si>
    <t>"Pebble/Conglomerate-Clay" ="#8D8571",</t>
  </si>
  <si>
    <t>"Pebble/Conglomerate-Silt" ="#D5CB93",</t>
  </si>
  <si>
    <t>"Pebble/Conglomerate-Sand" ="#D0E88A",</t>
  </si>
  <si>
    <t>"Pebble/Conglomerate-Sandston" ="#A9C971",</t>
  </si>
  <si>
    <t>"Pebble/Conglomerate-Marl" ="#D57CB9",</t>
  </si>
  <si>
    <t>"Pebble/Conglomerate-Chalk" ="#9DB8A7",</t>
  </si>
  <si>
    <t>"Pebble/Conglomerate-Limeston" ="#C9916C",</t>
  </si>
  <si>
    <t>"Pebble/Conglomerate-Dolomite" ="#359986",</t>
  </si>
  <si>
    <t>"Pebble/Conglomerate-Basalt" ="#73287A",</t>
  </si>
  <si>
    <t>"Pebble/Conglomerate-Cliff" ="#54899F",</t>
  </si>
  <si>
    <t>"Pebble/Conglomerate-Shales" ="#8B3629",</t>
  </si>
  <si>
    <t>"Pebble/Conglomerate-Flint/Chert" ="#699F9B",</t>
  </si>
  <si>
    <t>"Pebble/Conglomerate-Bitumen" ="#8B8C47",</t>
  </si>
  <si>
    <t>"Pebble/Conglomerate-Evaporites" ="#D71DDA7",</t>
  </si>
  <si>
    <t>"Marl" ="#E8D9B0",</t>
  </si>
  <si>
    <t>"Marl-Clay" ="#8C8D71",</t>
  </si>
  <si>
    <t>"Marl-Silt" ="#B9CB97",</t>
  </si>
  <si>
    <t>"Marl-Sand" ="#A7C554",</t>
  </si>
  <si>
    <t>"Marl-Sandston" ="#DC88AC",</t>
  </si>
  <si>
    <t>"Marl-Pebble/Conglomerate" ="#75B6CA",</t>
  </si>
  <si>
    <t>"Marl-Chalk" ="#E59168",</t>
  </si>
  <si>
    <t>"Marl-Limeston" ="#5EBCBC",</t>
  </si>
  <si>
    <t>"Marl-Dolomite" ="#40693E",</t>
  </si>
  <si>
    <t>"Marl-Basalt" ="#C320C3",</t>
  </si>
  <si>
    <t>"Marl-Cliff" ="#435D68",</t>
  </si>
  <si>
    <t>"Marl-Shales" ="#D4744B",</t>
  </si>
  <si>
    <t>"Marl-Flint/Chert" ="#80BC8F",</t>
  </si>
  <si>
    <t>"Marl-Bitumen" ="#8D9063",</t>
  </si>
  <si>
    <t>"Marl-Evaporites" ="#A71D6D7",</t>
  </si>
  <si>
    <t>"Chalk" ="#E6E8B0",</t>
  </si>
  <si>
    <t>"Chalk-Clay" ="#708D75",</t>
  </si>
  <si>
    <t>"Chalk-Silt" ="#90A861",</t>
  </si>
  <si>
    <t>"Chalk-Sand" ="#DA8490",</t>
  </si>
  <si>
    <t>"Chalk-Sandston" ="#A5BC9A",</t>
  </si>
  <si>
    <t>"Chalk-Pebble/Conglomerate" ="#BD8E8B",</t>
  </si>
  <si>
    <t>"Chalk-Marl" ="#7BB4B8",</t>
  </si>
  <si>
    <t>"Chalk-Limeston" ="#698C74",</t>
  </si>
  <si>
    <t>"Chalk-Dolomite" ="#5CA24C",</t>
  </si>
  <si>
    <t>"Chalk-Basalt" ="#7A297A",</t>
  </si>
  <si>
    <t>"Chalk-Cliff" ="#8C9C8A",</t>
  </si>
  <si>
    <t>"Chalk-Shales" ="#EB913E",</t>
  </si>
  <si>
    <t>"Chalk-Flint/Chert" ="#82C0AB",</t>
  </si>
  <si>
    <t>"Chalk-Bitumen" ="#5D8A93",</t>
  </si>
  <si>
    <t>"Chalk-Evaporites" ="#D01D1B4",</t>
  </si>
  <si>
    <t>"Limeston" ="#AEE8B8",</t>
  </si>
  <si>
    <t>"Limeston-Clay" ="#476A3F",</t>
  </si>
  <si>
    <t>"Limeston-Silt" ="#C3679C",</t>
  </si>
  <si>
    <t>"Limeston-Sand" ="#A3B87E",</t>
  </si>
  <si>
    <t>"Limeston-Sandston" ="#ED955B",</t>
  </si>
  <si>
    <t>"Limeston-Pebble/Conglomerate" ="#52B9DB",</t>
  </si>
  <si>
    <t>"Limeston-Marl" ="#868570",</t>
  </si>
  <si>
    <t>"Limeston-Chalk" ="#E6E8B0",</t>
  </si>
  <si>
    <t>"Limeston-Dolomite" ="#476A3F",</t>
  </si>
  <si>
    <t>"Limeston-Basalt" ="#C3679C",</t>
  </si>
  <si>
    <t>"Limeston-Cliff" ="#A3B87E",</t>
  </si>
  <si>
    <t>"Limeston-Shales" ="#ED955B",</t>
  </si>
  <si>
    <t>"Limeston-Flint/Chert" ="#52B9DB",</t>
  </si>
  <si>
    <t>"Limeston-Bitumen" ="#868570",</t>
  </si>
  <si>
    <t>"Limeston-Evaporites" ="#CF1D9B4",</t>
  </si>
  <si>
    <t>"Dolomite" ="#5CA24C",</t>
  </si>
  <si>
    <t>"Dolomite-Clay" ="#7A297A",</t>
  </si>
  <si>
    <t>"Dolomite-Silt" ="#8C9C8A",</t>
  </si>
  <si>
    <t>"Dolomite-Sand" ="#EB913E",</t>
  </si>
  <si>
    <t>"Dolomite-Sandston" ="#82C0AB",</t>
  </si>
  <si>
    <t>"Dolomite-Pebble/Conglomerate" ="#5D8A93",</t>
  </si>
  <si>
    <t>"Dolomite-Marl" ="#E8D9B0",</t>
  </si>
  <si>
    <t>"Dolomite-Chalk" ="#8C8D71",</t>
  </si>
  <si>
    <t>"Dolomite-Limeston" ="#B9CB97",</t>
  </si>
  <si>
    <t>"Dolomite-Basalt" ="#DA8490",</t>
  </si>
  <si>
    <t>"Dolomite-Cliff" ="#A5BC9A",</t>
  </si>
  <si>
    <t>"Dolomite-Shales" ="#BD8E8B",</t>
  </si>
  <si>
    <t>"Dolomite-Flint/Chert" ="#7BB4B8",</t>
  </si>
  <si>
    <t>"Dolomite-Bitumen" ="#858C70",</t>
  </si>
  <si>
    <t>"Dolomite-Evaporites" ="#B31D9B8",</t>
  </si>
  <si>
    <t>"Basalt" ="#C320C3",</t>
  </si>
  <si>
    <t>"Basalt-Clay (Litearit)" ="#C320C3",</t>
  </si>
  <si>
    <t>"Basalt-Silt" ="#D4744B",</t>
  </si>
  <si>
    <t>"Basalt-Sand (Gromosoil)" ="#C320C3",</t>
  </si>
  <si>
    <t>"Basalt-Sandston" ="#8D9063",</t>
  </si>
  <si>
    <t>"Basalt-Pebble/Conglomerate  (Scoria)" ="#C320C3",</t>
  </si>
  <si>
    <t>"Basalt-Marl" ="#8D8571",</t>
  </si>
  <si>
    <t>"Basalt-Chalk" ="#D5CB93",</t>
  </si>
  <si>
    <t>"Basalt-Limeston" ="#D0E88A",</t>
  </si>
  <si>
    <t>"Basalt-Dolomite" ="#A9C971",</t>
  </si>
  <si>
    <t>"Basalt-Cliff" ="#75B6CA",</t>
  </si>
  <si>
    <t>"Basalt-Shales" ="#E68968",</t>
  </si>
  <si>
    <t>"Basalt-Flint/Chert" ="#7ABCB8",</t>
  </si>
  <si>
    <t>"Basalt-Bitumen" ="#698C74",</t>
  </si>
  <si>
    <t>"Basalt-Evaporites" ="#8A1B682",</t>
  </si>
  <si>
    <t>"Cliff" ="#54899F",</t>
  </si>
  <si>
    <t>"Cliff-Clay" ="#8B3629",</t>
  </si>
  <si>
    <t>"Cliff-Silt" ="#699F9B",</t>
  </si>
  <si>
    <t>"Cliff-Sand" ="#8B8C47",</t>
  </si>
  <si>
    <t>"Cliff-Sandston" ="#F6F096",</t>
  </si>
  <si>
    <t>"Cliff-Pebble/Conglomerate" ="#648A94",</t>
  </si>
  <si>
    <t>"Cliff-Marl" ="#D6C493",</t>
  </si>
  <si>
    <t>"Cliff-Chalk" ="#ECE886",</t>
  </si>
  <si>
    <t>"Cliff-Limeston" ="#D2ECA7",</t>
  </si>
  <si>
    <t>"Cliff-Dolomite" ="#79C2A1",</t>
  </si>
  <si>
    <t>"Cliff-Basalt" ="#D57CB9",</t>
  </si>
  <si>
    <t>"Cliff-Shales" ="#E59168",</t>
  </si>
  <si>
    <t>"Cliff-Flint/Chert" ="#5EBCBC",</t>
  </si>
  <si>
    <t>"Cliff-Bitumen" ="#40693E",</t>
  </si>
  <si>
    <t>"Cliff-Evaporites" ="#BD175BE",</t>
  </si>
  <si>
    <t>"Shales" ="#E43A20",</t>
  </si>
  <si>
    <t>"Shales-Clay" ="#206179",</t>
  </si>
  <si>
    <t>"Shales-Silt" ="#747053",</t>
  </si>
  <si>
    <t>"Shales-Sand" ="#F2E85D",</t>
  </si>
  <si>
    <t>"Shales-Sandston" ="#949164",</t>
  </si>
  <si>
    <t>"Shales-Pebble/Conglomerate" ="#ADC9B6",</t>
  </si>
  <si>
    <t>"Shales-Marl" ="#EDE086",</t>
  </si>
  <si>
    <t>"Shales-Chalk" ="#EEECA3",</t>
  </si>
  <si>
    <t>"Shales-Limeston" ="#A2E5D7",</t>
  </si>
  <si>
    <t>"Shales-Dolomite" ="#A2BD7E",</t>
  </si>
  <si>
    <t>"Shales-Basalt" ="#D484B9",</t>
  </si>
  <si>
    <t>"Shales-Cliff" ="#81B8AB",</t>
  </si>
  <si>
    <t>"Shales-Flint/Chert" ="#359986",</t>
  </si>
  <si>
    <t>"Shales-Bitumen" ="#73287A",</t>
  </si>
  <si>
    <t>"Shales-Evaporites" ="#861A9AC",</t>
  </si>
  <si>
    <t>"Flint/Chert" ="#E90C10",</t>
  </si>
  <si>
    <t>"Flint/Chert-Clay" ="#2B3131",</t>
  </si>
  <si>
    <t>"Flint/Chert-Silt" ="#C4AF76",</t>
  </si>
  <si>
    <t>"Flint/Chert-Sand" ="#928D47",</t>
  </si>
  <si>
    <t>"Flint/Chert-Sandston" ="#DDCF86",</t>
  </si>
  <si>
    <t>"Flint/Chert-Pebble/Conglomerate" ="#C4E5A9",</t>
  </si>
  <si>
    <t>"Flint/Chert-Marl" ="#EFE4A3",</t>
  </si>
  <si>
    <t>"Flint/Chert-Chalk" ="#BEE5D3",</t>
  </si>
  <si>
    <t>"Flint/Chert-Limeston" ="#CBE0B4",</t>
  </si>
  <si>
    <t>"Flint/Chert-Dolomite" ="#A1C57E",</t>
  </si>
  <si>
    <t>"Flint/Chert-Basalt" ="#B884BD",</t>
  </si>
  <si>
    <t>"Flint/Chert-Cliff" ="#589575",</t>
  </si>
  <si>
    <t>"Flint/Chert-Shales" ="#D32D71",</t>
  </si>
  <si>
    <t>"Flint/Chert-Bitumen" ="#3C5D68",</t>
  </si>
  <si>
    <t>"Flint/Chert-Evaporites" ="#CE1826C",</t>
  </si>
  <si>
    <t>"Bitumen" ="#243131",</t>
  </si>
  <si>
    <t>"Bitumen-Clay" ="#323232",</t>
  </si>
  <si>
    <t>"Bitumen-Silt" ="#C4AF76",</t>
  </si>
  <si>
    <t>"Bitumen-Sand" ="#F2E85D",</t>
  </si>
  <si>
    <t>"Bitumen-Sandston" ="#F6F096",</t>
  </si>
  <si>
    <t>"Bitumen-Pebble/Conglomerate" ="#96E3F6",</t>
  </si>
  <si>
    <t>"Bitumen-Marl" ="#E8D9B0",</t>
  </si>
  <si>
    <t>"Bitumen-Chalk" ="#E6E8B0",</t>
  </si>
  <si>
    <t>"Bitumen-Limeston" ="#AEE8B8",</t>
  </si>
  <si>
    <t>"Bitumen-Dolomite" ="#5CA24C",</t>
  </si>
  <si>
    <t>"Bitumen-Basalt" ="#C320C3",</t>
  </si>
  <si>
    <t>"Bitumen-Cliff" ="#54899F",</t>
  </si>
  <si>
    <t>"Bitumen-Shales" ="#E43A20",</t>
  </si>
  <si>
    <t>"Bitumen-Flint/Chert" ="#E90C10",</t>
  </si>
  <si>
    <t>"Bitumen-Evaporites" ="#B82CAB9",</t>
  </si>
  <si>
    <t>"Evaporites" ="#B82CAB9",</t>
  </si>
  <si>
    <t>"Evaporites-Clay" ="#323232",</t>
  </si>
  <si>
    <t>"Evaporites-Silt" ="#C4AF76",</t>
  </si>
  <si>
    <t>"Evaporites-Sand" ="#F2E85D",</t>
  </si>
  <si>
    <t>"Evaporites-Sandston" ="#F6F096",</t>
  </si>
  <si>
    <t>"Evaporites-Pebble/Conglomerate" ="#96E3F6",</t>
  </si>
  <si>
    <t>"Evaporites-Marl" ="#E8D9B0",</t>
  </si>
  <si>
    <t>"Evaporites-Chalk" ="#E6E8B0",</t>
  </si>
  <si>
    <t>"Evaporites-Limeston" ="#AEE8B8",</t>
  </si>
  <si>
    <t>"Evaporites-Dolomite" ="#5CA24C",</t>
  </si>
  <si>
    <t>"Evaporites-Basalt" ="#C320C3",</t>
  </si>
  <si>
    <t>"Evaporites-Cliff" ="#54899F",</t>
  </si>
  <si>
    <t>"Evaporites-Shales" ="#E43A20",</t>
  </si>
  <si>
    <t>"Evaporites-Flint/Chert" ="#E90C10",</t>
  </si>
  <si>
    <t>"Riolit" ="#DC2828",</t>
  </si>
  <si>
    <t>"Riolit-Granite" ="#DCDC28",</t>
  </si>
  <si>
    <t>"Riolit-Porphyry" ="#FFF",</t>
  </si>
  <si>
    <t>"Riolit-Gabbro" ="#1414BE",</t>
  </si>
  <si>
    <t>"Riolit-Diorite" ="#289696",</t>
  </si>
  <si>
    <t>"Riolit-Gneiss" ="#C828C8",</t>
  </si>
  <si>
    <t>"Riolit-Schist" ="#9683BB",</t>
  </si>
  <si>
    <t>"Riolit-Amphibolite" ="#A78228",</t>
  </si>
  <si>
    <t>"Granite" ="#DCDC28",</t>
  </si>
  <si>
    <t>"Granite-Riolit" ="#DC2828",</t>
  </si>
  <si>
    <t>"Granite-Porphyry" ="#FFF",</t>
  </si>
  <si>
    <t>"Granite-Gabbro" ="#1414BE",</t>
  </si>
  <si>
    <t>"Granite-Diorite" ="#289696",</t>
  </si>
  <si>
    <t>"Granite-Gneiss" ="#C828C8",</t>
  </si>
  <si>
    <t>"Granite-Schist" ="#9683BB",</t>
  </si>
  <si>
    <t>"Granite-Amphibolite" ="#A78228",</t>
  </si>
  <si>
    <t>"Porphyry" ="#FFF",</t>
  </si>
  <si>
    <t>"Porphyry-Riolit" ="#DC2828",</t>
  </si>
  <si>
    <t>"Porphyry-Granite" ="#DCDC28",</t>
  </si>
  <si>
    <t>"Porphyry-Gabbro" ="#1414BE",</t>
  </si>
  <si>
    <t>"Porphyry-Diorite" ="#289696",</t>
  </si>
  <si>
    <t>"Porphyry-Gneiss" ="#C828C8",</t>
  </si>
  <si>
    <t>"Porphyry-Schist" ="#9683BB",</t>
  </si>
  <si>
    <t>"Porphyry-Amphibolite" ="#A78228",</t>
  </si>
  <si>
    <t>"Gabbro" ="#1414BE",</t>
  </si>
  <si>
    <t>"Gabbro-Riolit" ="#DC2828",</t>
  </si>
  <si>
    <t>"Gabbro-Granite" ="#DCDC28",</t>
  </si>
  <si>
    <t>"Gabbro-Porphyry" ="#FFF",</t>
  </si>
  <si>
    <t>"Gabbro-Diorite" ="#289696",</t>
  </si>
  <si>
    <t>"Gabbro-Gneiss" ="#C828C8",</t>
  </si>
  <si>
    <t>"Gabbro-Schist" ="#9683BB",</t>
  </si>
  <si>
    <t>"Gabbro-Amphibolite" ="#A78228",</t>
  </si>
  <si>
    <t>"Diorite" ="#289696",</t>
  </si>
  <si>
    <t>"Diorite-Riolit" ="#DC2828",</t>
  </si>
  <si>
    <t>"Diorite-Granite" ="#DCDC28",</t>
  </si>
  <si>
    <t>"Diorite-Porphyry" ="#FFF",</t>
  </si>
  <si>
    <t>"Diorite-Gabbro" ="#1414BE",</t>
  </si>
  <si>
    <t>"Diorite-Gneiss" ="#C828C8",</t>
  </si>
  <si>
    <t>"Diorite-Schist" ="#9683BB",</t>
  </si>
  <si>
    <t>"Diorite-Amphibolite" ="#A78228",</t>
  </si>
  <si>
    <t>"Gneiss" ="#C828C8",</t>
  </si>
  <si>
    <t>"Gneiss-Riolit" ="#DC2828",</t>
  </si>
  <si>
    <t>"Gneiss-Porphyry" ="#FFF",</t>
  </si>
  <si>
    <t>"Gneiss-Gabbro" ="#1414BE",</t>
  </si>
  <si>
    <t>"Gneiss-Diorite" ="#289696",</t>
  </si>
  <si>
    <t>"Gneiss-Gneiss" ="#C828C8",</t>
  </si>
  <si>
    <t>"Gneiss-Schist" ="#9683BB",</t>
  </si>
  <si>
    <t>"Gneiss-Amphibolite" ="#A78228",</t>
  </si>
  <si>
    <t>"Schist" ="#9683BB",</t>
  </si>
  <si>
    <t>"Schist-Riolit" ="#DC2828",</t>
  </si>
  <si>
    <t>"Schist-Granite" ="#DCDC28",</t>
  </si>
  <si>
    <t>"Schist-Porphyry" ="#FFF",</t>
  </si>
  <si>
    <t>"Schist-Gabbro" ="#1414BE",</t>
  </si>
  <si>
    <t>"Schist-Diorite" ="#289696",</t>
  </si>
  <si>
    <t>"Schist-Gneiss" ="#C828C8",</t>
  </si>
  <si>
    <t>"Schist-Amphibolite" ="#A78228",</t>
  </si>
  <si>
    <t>"Amphibolite" ="#A78228",</t>
  </si>
  <si>
    <t>"Amphibolite-Riolit" ="#DC2828",</t>
  </si>
  <si>
    <t>"Amphibolite-Granite" ="#DCDC28",</t>
  </si>
  <si>
    <t>"Amphibolite-Porphyry" ="#FFF",</t>
  </si>
  <si>
    <t>"Amphibolite-Gabbro" ="#1414BE",</t>
  </si>
  <si>
    <t>"Amphibolite-Diorite" ="#289696",</t>
  </si>
  <si>
    <t>"Amphibolite-Gneiss" ="#C828C8",</t>
  </si>
  <si>
    <t>"Amphibolite-Schist" ="#9683BB",</t>
  </si>
  <si>
    <t>"Not Clear / Loss" ="#E6E6E6",</t>
  </si>
  <si>
    <t>"Not Classified" ="#C8C8C8",</t>
  </si>
  <si>
    <t>"Quaternary" ="#787878",</t>
  </si>
  <si>
    <t>"Quaternary-Holocene" ="#A0A1A2",</t>
  </si>
  <si>
    <t>"Quaternary-Pleistocene" ="#B4B4B4",</t>
  </si>
  <si>
    <t>"Quaternary-Pleistocene-Late" ="#B4B4B4",</t>
  </si>
  <si>
    <t>"Quaternary-Pleistocene-Middle" ="#B4B4B4",</t>
  </si>
  <si>
    <t>"Quaternary-Pleistocene-Calabrian" ="#B4B4B4",</t>
  </si>
  <si>
    <t>"Quaternary-Pleistocene-Gelasian" ="#B4B4B4",</t>
  </si>
  <si>
    <t>"Neogene" ="#F6CECE",</t>
  </si>
  <si>
    <t>"Neogene-Pliocene" ="#F6CECE",</t>
  </si>
  <si>
    <t>"Neogene-Pliocene-Piacenzian" ="#F6CECE",</t>
  </si>
  <si>
    <t>"Neogene-Pliocene-Zanclean" ="#F6CECE",</t>
  </si>
  <si>
    <t>"Neogene-Miocene" ="#F6CE78",</t>
  </si>
  <si>
    <t>"Neogene-Miocene-Messinian" ="#F6CE79",</t>
  </si>
  <si>
    <t>"Neogene-Miocene-Tortonian" ="#F6CE7A",</t>
  </si>
  <si>
    <t>"Neogene-Miocene-Serravallian" ="#F6CE7B",</t>
  </si>
  <si>
    <t>"Neogene-Miocene-Langhian" ="#F6CE7C",</t>
  </si>
  <si>
    <t>"Neogene-Miocene-Burdigalian" ="#F6CE7D",</t>
  </si>
  <si>
    <t>"Neogene-Miocene-Aquitanian" ="#F6CE7E",</t>
  </si>
  <si>
    <t>"Paleogene" ="#F5C981",</t>
  </si>
  <si>
    <t>"Paleogene-Oligocene" ="#F6CA82",</t>
  </si>
  <si>
    <t>"Paleogene-Oligocene-Chattian" ="#F7CB83",</t>
  </si>
  <si>
    <t>"Paleogene-Oligocene-Rupelian" ="#F8CC84",</t>
  </si>
  <si>
    <t>"Paleogene-Eocene" ="#F5DA81",</t>
  </si>
  <si>
    <t>"Paleogene-Eocene-Priabonian" ="#F5DA81",</t>
  </si>
  <si>
    <t>"Paleogene-Eocene-Bartonian" ="#F5DA81",</t>
  </si>
  <si>
    <t>"Paleogene-Eocene-Lutetian" ="#F5DA81",</t>
  </si>
  <si>
    <t>"Paleogene-Eocene-Ypresian" ="#F5DA81",</t>
  </si>
  <si>
    <t>"Paleogene-Paleocene" ="#FF8000",</t>
  </si>
  <si>
    <t>"Paleogene-Paleocene-Thanetian" ="#FF8010",</t>
  </si>
  <si>
    <t>"Paleogene-Paleocene-Selandian" ="#FF8020",</t>
  </si>
  <si>
    <t>"Paleogene-Paleocene-Danian" ="#FF8030",</t>
  </si>
  <si>
    <t>"Cretaceous" ="#C9B86A",</t>
  </si>
  <si>
    <t>"Cretaceous-Late-Senonian" ="#C9B86A",</t>
  </si>
  <si>
    <t>"Cretaceous-Late-Senonian-Maastrichtian" ="#C9B86A",</t>
  </si>
  <si>
    <t>"Cretaceous-Late-Senonian-Campanian" ="#C9B86A",</t>
  </si>
  <si>
    <t>"Cretaceous-Late-Senonian-Santonian" ="#C9B86A",</t>
  </si>
  <si>
    <t>"Cretaceous-Late-Senonian-Coniacian" ="#C9B86A",</t>
  </si>
  <si>
    <t>"Cretaceous-Late-Turonian" ="#3ADF00",</t>
  </si>
  <si>
    <t>"Cretaceous-Late-Turonian - upper" ="#3AC800",</t>
  </si>
  <si>
    <t>"Cretaceous-Late-Turonian - lower" ="#14C800",</t>
  </si>
  <si>
    <t>"Cretaceous-Late-Cenomanian" ="#14C800",</t>
  </si>
  <si>
    <t>"Cretaceous-Early" ="#B43130",</t>
  </si>
  <si>
    <t>"Cretaceous-Early-Albian" ="#B43140",</t>
  </si>
  <si>
    <t>"Cretaceous-Early-Aptian" ="#86B440",</t>
  </si>
  <si>
    <t>"Cretaceous-Early-Barremian" ="#86B450",</t>
  </si>
  <si>
    <t>"Cretaceous-Early-Hauterivian" ="#86B460",</t>
  </si>
  <si>
    <t>"Cretaceous-Early-Valanginian" ="#86B470",</t>
  </si>
  <si>
    <t>"Cretaceous-Early-Berriasian" ="#86B480",</t>
  </si>
  <si>
    <t>"Jurassic" ="#ACFA58",</t>
  </si>
  <si>
    <t>"Jurassic-Late" ="#ACFA59",</t>
  </si>
  <si>
    <t>"Jurassic-Late-Tithonian" ="#ACFA5A",</t>
  </si>
  <si>
    <t>"Jurassic-Late-Kimmeridgian" ="#ACFA5B",</t>
  </si>
  <si>
    <t>"Jurassic-Late-Oxfordian" ="#ACFA5C",</t>
  </si>
  <si>
    <t>"Jurassic-Middle" ="#ACFA5D",</t>
  </si>
  <si>
    <t>"Jurassic-Middle-Callovian" ="#ACFA5E",</t>
  </si>
  <si>
    <t>"Jurassic-Middle-Bathonian" ="#ACFA5F",</t>
  </si>
  <si>
    <t>"Jurassic-Middle-Bajocian" ="#ACFA60",</t>
  </si>
  <si>
    <t>"Jurassic-Middle-Aalenian" ="#ACFA61",</t>
  </si>
  <si>
    <t>"Jurassic-Early" ="#ACFA62",</t>
  </si>
  <si>
    <t>"Jurassic-Early-Toarcian" ="#ACFA63",</t>
  </si>
  <si>
    <t>"Jurassic-Early-Pliensbachian" ="#ACFA64",</t>
  </si>
  <si>
    <t>"Jurassic-Early-Sinemurian" ="#ACFA65",</t>
  </si>
  <si>
    <t>"Jurassic-Early-Hettangian" ="#ACFA66",</t>
  </si>
  <si>
    <t>"Triassic" ="#DF7410",</t>
  </si>
  <si>
    <t>"Triassic-Late" ="#DF7420",</t>
  </si>
  <si>
    <t>"Triassic-Late-Rhaetian" ="#DF7430",</t>
  </si>
  <si>
    <t>"Triassic-Late-Norian" ="#DF7440",</t>
  </si>
  <si>
    <t>"Triassic-Late-Carnian" ="#DF7450",</t>
  </si>
  <si>
    <t>"Triassic-Middle" ="#DF7460",</t>
  </si>
  <si>
    <t>"Triassic-Middle-Ladinian" ="#DF7470",</t>
  </si>
  <si>
    <t>"Triassic-Middle-Anisian" ="#DF7480",</t>
  </si>
  <si>
    <t>"Triassic-Early" ="#DF7490",</t>
  </si>
  <si>
    <t>"Triassic-Early-Olenekian" ="#DF74A0",</t>
  </si>
  <si>
    <t>"Triassic-Early-Induan" ="#DF74B0",</t>
  </si>
  <si>
    <t>"Permian" ="#1DFD70",</t>
  </si>
  <si>
    <t>"Permian-Lopingian" ="#2DFD70",</t>
  </si>
  <si>
    <t>"Permian-Lopingian-Changhsingian" ="#3DFD70",</t>
  </si>
  <si>
    <t>"Permian-Lopingian-Wuchiapingian" ="#4DFD70",</t>
  </si>
  <si>
    <t>"Permian-Guadalupian" ="#5DFD70",</t>
  </si>
  <si>
    <t>"Permian-Guadalupian-Capitanian" ="#6DFD70",</t>
  </si>
  <si>
    <t>"Permian-Guadalupian-Wordian" ="#7DFD70",</t>
  </si>
  <si>
    <t>"Permian-Guadalupian-Roadian" ="#8DFD70",</t>
  </si>
  <si>
    <t>"Permian-Cisuralian" ="#9DFD70",</t>
  </si>
  <si>
    <t>"Permian-Cisuralian-Kungurian" ="#ADFD70",</t>
  </si>
  <si>
    <t>"Permian-Cisuralian-Artinskian" ="#BDFD70",</t>
  </si>
  <si>
    <t>"Permian-Cisuralian-Sakmarian" ="#CDFD70",</t>
  </si>
  <si>
    <t>"Permian-Cisuralian-Asselian" ="#DDFD70",</t>
  </si>
  <si>
    <t>"Carbon" ="#FF0BF0",</t>
  </si>
  <si>
    <t>"Carbon-Pennsylvanian" ="#1001C0",</t>
  </si>
  <si>
    <t>"Carbon-Pennsylvanian-Gzhelian" ="#1012C1",</t>
  </si>
  <si>
    <t>"Carbon-Pennsylvanian-Kasimovian" ="#1023C2",</t>
  </si>
  <si>
    <t>"Carbon-Pennsylvanian-Moscovian" ="#1034C3",</t>
  </si>
  <si>
    <t>"Carbon-Pennsylvanian-Bashkirian" ="#1045C4",</t>
  </si>
  <si>
    <t>"Carbon-Mississippian" ="#1056C5",</t>
  </si>
  <si>
    <t>"Carbon-Mississippian-Serpukhovian" ="#1067C6",</t>
  </si>
  <si>
    <t>"Carbon-Mississippian-Visean" ="#1078C7",</t>
  </si>
  <si>
    <t>"Carbon-Mississippian-Tournaisian" ="#1089C8",</t>
  </si>
  <si>
    <t>"Devonian" ="#FF0400",</t>
  </si>
  <si>
    <t>"Devonian-Late" ="#100040",</t>
  </si>
  <si>
    <t>"Devonian-Late-Famennian" ="#101040",</t>
  </si>
  <si>
    <t>"Devonian-Late-Frasnian" ="#102040",</t>
  </si>
  <si>
    <t>"Devonian-Middle" ="#103040",</t>
  </si>
  <si>
    <t>"Devonian-Middle-Givetian" ="#104040",</t>
  </si>
  <si>
    <t>"Devonian-Middle-Eifelian" ="#105040",</t>
  </si>
  <si>
    <t>"Devonian-Early" ="#106040",</t>
  </si>
  <si>
    <t>"Devonian-Early-Emsian" ="#107040",</t>
  </si>
  <si>
    <t>"Devonian-Early-Pragian" ="#108040",</t>
  </si>
  <si>
    <t>"Devonian-Early-Lochkovian" ="#109040",</t>
  </si>
  <si>
    <t>"Silurian" ="#FF8000",</t>
  </si>
  <si>
    <t>"Silurian-Pridoli" ="#FF8010",</t>
  </si>
  <si>
    <t>"Silurian-Ludlow" ="#FF8020",</t>
  </si>
  <si>
    <t>"Silurian-Ludlow-Ludfordian" ="#FF8030",</t>
  </si>
  <si>
    <t>"Silurian-Ludlow-Gorstian" ="#FF8040",</t>
  </si>
  <si>
    <t>"Silurian-Wenlock" ="#FF8050",</t>
  </si>
  <si>
    <t>"Silurian-Wenlock-Homerian" ="#FF8060",</t>
  </si>
  <si>
    <t>"Silurian-Wenlock-Sheinwoodian" ="#FF8070",</t>
  </si>
  <si>
    <t>"Silurian-Llandovery" ="#FF8080",</t>
  </si>
  <si>
    <t>"Silurian-Llandovery-Telychian" ="#FF8090",</t>
  </si>
  <si>
    <t>"Silurian-Llandovery-Aeronian" ="#FF80A0",</t>
  </si>
  <si>
    <t>"Silurian-Llandovery-Rhuddanian" ="#FF80B0",</t>
  </si>
  <si>
    <t>"Ordovician" ="#7CDA81",</t>
  </si>
  <si>
    <t>"Ordovician-Late" ="#7DDA81",</t>
  </si>
  <si>
    <t>"Ordovician-Late-Hirnantian" ="#7EDA81",</t>
  </si>
  <si>
    <t>"Ordovician-Late-Katian" ="#7FDA81",</t>
  </si>
  <si>
    <t>"Ordovician-Late-Sandbian" ="#80DA81",</t>
  </si>
  <si>
    <t>"Ordovician-Middle" ="#81DA81",</t>
  </si>
  <si>
    <t>"Ordovician-Middle-Darriwilian" ="#82DA81",</t>
  </si>
  <si>
    <t>"Ordovician-Middle-Dapingian" ="#83DA81",</t>
  </si>
  <si>
    <t>"Ordovician-Early" ="#84DA81",</t>
  </si>
  <si>
    <t>"Ordovician-Early-Floian" ="#85DA81",</t>
  </si>
  <si>
    <t>"Ordovician-Early-(formerly Arenig)" ="#86DA81",</t>
  </si>
  <si>
    <t>"Ordovician-Early-Tremadocian" ="#87DA81",</t>
  </si>
  <si>
    <t>"Cambrian" ="#FF8043",</t>
  </si>
  <si>
    <t>"Cambrian-Furongian" ="#FF8044",</t>
  </si>
  <si>
    <t>"Cambrian-Furongian-Stage 10" ="#FF8045",</t>
  </si>
  <si>
    <t>"Cambrian-Furongian-Jiangshanian" ="#FF8046",</t>
  </si>
  <si>
    <t>"Cambrian-Furongian-Paibian" ="#FF8047",</t>
  </si>
  <si>
    <t>"Cambrian-Series 3" ="#FF8048",</t>
  </si>
  <si>
    <t>"Cambrian-Series 3-Guzhangian" ="#FF8049",</t>
  </si>
  <si>
    <t>"Cambrian-Series 3-Drumian" ="#FF804A",</t>
  </si>
  <si>
    <t>"Cambrian-Series 3-Stage 5" ="#FF804B",</t>
  </si>
  <si>
    <t>"Cambrian-Series 2" ="#FF804C",</t>
  </si>
  <si>
    <t>"Cambrian-Series 2-Stage 4" ="#FF804D",</t>
  </si>
  <si>
    <t>"Cambrian-Series 2-Stage 3" ="#FF804E",</t>
  </si>
  <si>
    <t>"Cambrian-Terreneuvian" ="#FF804F",</t>
  </si>
  <si>
    <t>"Cambrian-Terreneuvian-Stage 2" ="#FF8050",</t>
  </si>
  <si>
    <t>"Cambrian-Terreneuvian-Fortunian" ="#FF8051",</t>
  </si>
  <si>
    <t>"Precambrian" ="#646464",</t>
  </si>
  <si>
    <t>"Precambrian-Proteozoic" ="#646464",</t>
  </si>
  <si>
    <t>"Precambrian-Archean" ="#646464",</t>
  </si>
  <si>
    <t>"Precambrian-Hadean" ="#646464",</t>
  </si>
  <si>
    <t>"Not Clear / Loss" ="#FFFFFF",</t>
  </si>
  <si>
    <t>"Not Classified" ="#FFFFFF")</t>
  </si>
  <si>
    <t>KfarShaul_Top</t>
  </si>
  <si>
    <t>Aminadav_Top</t>
  </si>
  <si>
    <t>BetMeir_Top</t>
  </si>
  <si>
    <t>Kesalon_Top</t>
  </si>
  <si>
    <t>Soreq_Top</t>
  </si>
  <si>
    <t>GivatYearim_Top</t>
  </si>
  <si>
    <t>Kefira_Top</t>
  </si>
  <si>
    <t>Qatana_Top</t>
  </si>
  <si>
    <t>Weradim_Top = "#3DE00A",</t>
  </si>
  <si>
    <t>Aminadav_Top="#A4FF83",</t>
  </si>
  <si>
    <t>Judea_Base="#BDD7CC",</t>
  </si>
  <si>
    <t>Judea_Base</t>
  </si>
  <si>
    <t>Soreq_Top = #CFDE9A</t>
  </si>
  <si>
    <t>Aminadav_Top = #A4FF83</t>
  </si>
  <si>
    <t>Moza_Top = #FFCC71</t>
  </si>
  <si>
    <t>BetMeir_Top = #AB9F50</t>
  </si>
  <si>
    <t>Kesalon_Top = #FFC7A9</t>
  </si>
  <si>
    <t>GivatYearim_Top = #91B000</t>
  </si>
  <si>
    <t>Kefira_Top = #B0B678</t>
  </si>
  <si>
    <t>Qatana_Top = #BDD7CC</t>
  </si>
  <si>
    <t>Aminadav_Top = "#A4FF83",</t>
  </si>
  <si>
    <t>Moza_Top = "#FFCC71",</t>
  </si>
  <si>
    <t>BetMeir_Top = "#AB9F50",</t>
  </si>
  <si>
    <t>Kesalon_Top = "#FFC7A9",</t>
  </si>
  <si>
    <t>Soreq_Top = "#CFDE9A",</t>
  </si>
  <si>
    <t>GivatYearim_Top = "#91B000",</t>
  </si>
  <si>
    <t>Kefira_Top = "#B0B678",</t>
  </si>
  <si>
    <t>Qatana_Top = "#BDD7CC",</t>
  </si>
  <si>
    <t>Weradim_Top</t>
  </si>
  <si>
    <t>Aminadve_Top</t>
  </si>
  <si>
    <t>Judea_Base = "#BDD7CC",</t>
  </si>
  <si>
    <t>Top_Jura_Top</t>
  </si>
  <si>
    <t>Lower_Cretaceous_Top</t>
  </si>
  <si>
    <t>Aptian_Top</t>
  </si>
  <si>
    <t>Lower_Cenomanian_Top</t>
  </si>
  <si>
    <t>Middle_Cenomanian_Top</t>
  </si>
  <si>
    <t>Upper_Cenomanian_Top</t>
  </si>
  <si>
    <t>MontScopus_Top</t>
  </si>
  <si>
    <t>Avdat_Top</t>
  </si>
  <si>
    <t>Neogen_Top</t>
  </si>
  <si>
    <t>#DE9221</t>
  </si>
  <si>
    <t>Top_Jura_Top="#3C7DC4",</t>
  </si>
  <si>
    <t>Lower_Cretaceous_Top="#DE9221",</t>
  </si>
  <si>
    <t>Aptian_Top="#BDD7CC",</t>
  </si>
  <si>
    <t>Lower_Cenomanian_Top="#82B000",</t>
  </si>
  <si>
    <t>Upper_Cenomanian_Top="#CCFF8F",</t>
  </si>
  <si>
    <t>Bina_Top="#80FF00",</t>
  </si>
  <si>
    <t>MontScopus_Top="#C2B600",</t>
  </si>
  <si>
    <t>Avdat_Top="#FFD27B",</t>
  </si>
  <si>
    <t>Neogen_Top="#F3CC00",</t>
  </si>
  <si>
    <t>Top_Jura_Top = "#3C7DC4",</t>
  </si>
  <si>
    <t>Lower_Cretaceous_Top = "#DE9221",</t>
  </si>
  <si>
    <t>Aptian_Top = "#BDD7CC",</t>
  </si>
  <si>
    <t>Lower_Cenomanian_Top = "#82B000",</t>
  </si>
  <si>
    <t>Upper_Cenomanian_Top = "#CCFF8F",</t>
  </si>
  <si>
    <t>Bina_Top = "#80FF00",</t>
  </si>
  <si>
    <t>MontScopus_Top = "#C2B600",</t>
  </si>
  <si>
    <t>Avdat_Top = "#FFD27B",</t>
  </si>
  <si>
    <t>Neogen_Top = "#F3CC00",</t>
  </si>
  <si>
    <t>Middle_Cenomanian_Top="#CFDE9A",</t>
  </si>
  <si>
    <t>Middle_Cenomanian_Top = "#CFDE9A",</t>
  </si>
  <si>
    <t>Quaternary_Base</t>
  </si>
  <si>
    <t>Upper_Judah_Top</t>
  </si>
  <si>
    <t>Lower_Jodea_Top</t>
  </si>
  <si>
    <t>Kurnub_Base</t>
  </si>
  <si>
    <t>Quaternary_Base = "#F6CE78",</t>
  </si>
  <si>
    <t>Kurnub_Base = "#3C7DC4",</t>
  </si>
  <si>
    <t>Quaternary_Base="#F6CE78",</t>
  </si>
  <si>
    <t>Kurnub_Top="#F5B6B0",</t>
  </si>
  <si>
    <t>Kurnub_Base="#3C7DC4",</t>
  </si>
  <si>
    <t>Upper_Judah_Top = "#80FF00",</t>
  </si>
  <si>
    <t>Upper_Judah_Top="#80FF00",</t>
  </si>
  <si>
    <t>Lower_Jodea_Top = "#CFDE9A",</t>
  </si>
  <si>
    <t>Lower_Jodea_Top="#CFDE9A",</t>
  </si>
  <si>
    <t>user_geology_layer</t>
  </si>
  <si>
    <t>user_geology_layer = "#FF0000",</t>
  </si>
  <si>
    <t>user_geology_layer="#FF0000",</t>
  </si>
  <si>
    <t>Model_Base</t>
  </si>
  <si>
    <t>Model_Base = "#BDD7CC",</t>
  </si>
  <si>
    <t>Model_Base="#BDD7CC",</t>
  </si>
  <si>
    <t>"JUDEA AQUICLOD"=#FFCC71",</t>
  </si>
  <si>
    <t>alluvium_Top</t>
  </si>
  <si>
    <t>eocene_Top</t>
  </si>
  <si>
    <t>senon_Top</t>
  </si>
  <si>
    <t>judeaUP_Top</t>
  </si>
  <si>
    <t>judeaMID_Top</t>
  </si>
  <si>
    <t>judeaLO_Top</t>
  </si>
  <si>
    <t>Kurnob_Top</t>
  </si>
  <si>
    <t>#C4B99F</t>
  </si>
  <si>
    <t>Kurnob_Top = "#BDD7CC",</t>
  </si>
  <si>
    <t>judeaLO_Top = "#82B000",</t>
  </si>
  <si>
    <t>judeaMID_Top = "#FFCC71",</t>
  </si>
  <si>
    <t>judeaUP_Top = "#55BB48",</t>
  </si>
  <si>
    <t>senon_Top = "#C2B600",</t>
  </si>
  <si>
    <t>eocene_Top = "#F6CE78",</t>
  </si>
  <si>
    <t>alluvium_Top = "#C4B99F",</t>
  </si>
  <si>
    <t>alluvium_Top="#C4B99F",</t>
  </si>
  <si>
    <t>eocene_Top="#F6CE78",</t>
  </si>
  <si>
    <t>senon_Top="#C2B600",</t>
  </si>
  <si>
    <t>judeaUP_Top="#55BB48",</t>
  </si>
  <si>
    <t>judeaMID_Top="#FFCC71",</t>
  </si>
  <si>
    <t>judeaLO_Top="#82B000",</t>
  </si>
  <si>
    <t>Kurnob_Top="#BDD7CC",</t>
  </si>
  <si>
    <t>#F1D9B4</t>
  </si>
  <si>
    <t>#82CAB9</t>
  </si>
  <si>
    <t>#97f01A</t>
  </si>
  <si>
    <t>KfarShaul_Top = #97f01A</t>
  </si>
  <si>
    <t>KfarShaul_Top = "#97f01A",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</si>
</sst>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177"/>
      <scheme val="minor"/>
    </font>
    <font>
      <sz val="11"/>
      <color rgb="FFFF0000"/>
      <name val="Calibri"/>
      <family val="2"/>
      <charset val="177"/>
      <scheme val="minor"/>
    </font>
    <font>
      <sz val="11"/>
      <name val="Calibri"/>
      <family val="2"/>
      <charset val="177"/>
      <scheme val="minor"/>
    </font>
    <font>
      <b/>
      <sz val="11"/>
      <color theme="1"/>
      <name val="Calibri"/>
      <family val="2"/>
      <scheme val="minor"/>
    </font>
    <font>
      <b/>
      <sz val="11"/>
      <color rgb="FFFA7D00"/>
      <name val="Calibri"/>
      <family val="2"/>
      <charset val="177"/>
      <scheme val="minor"/>
    </font>
    <font>
      <b/>
      <sz val="11"/>
      <name val="Calibri"/>
      <family val="2"/>
      <charset val="177"/>
      <scheme val="minor"/>
    </font>
    <font>
      <b/>
      <sz val="11"/>
      <color rgb="FF3F3F3F"/>
      <name val="Calibri"/>
      <family val="2"/>
      <charset val="177"/>
      <scheme val="minor"/>
    </font>
    <font>
      <b/>
      <i/>
      <sz val="11"/>
      <color rgb="FF000000"/>
      <name val="Arial"/>
      <family val="2"/>
    </font>
    <font>
      <sz val="9"/>
      <color indexed="81"/>
      <name val="Tahoma"/>
      <family val="2"/>
    </font>
    <font>
      <b/>
      <sz val="9"/>
      <color indexed="81"/>
      <name val="Tahoma"/>
      <family val="2"/>
    </font>
    <font>
      <sz val="11"/>
      <color theme="0"/>
      <name val="Calibri"/>
      <family val="2"/>
      <charset val="177"/>
      <scheme val="minor"/>
    </font>
    <font>
      <b/>
      <i/>
      <sz val="11"/>
      <color rgb="FFFF0000"/>
      <name val="Calibri"/>
      <family val="2"/>
      <scheme val="minor"/>
    </font>
  </fonts>
  <fills count="27">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rgb="FFFF8000"/>
        <bgColor indexed="64"/>
      </patternFill>
    </fill>
    <fill>
      <patternFill patternType="solid">
        <fgColor rgb="FFC9B86A"/>
        <bgColor indexed="64"/>
      </patternFill>
    </fill>
    <fill>
      <patternFill patternType="solid">
        <fgColor rgb="FF3ADF00"/>
        <bgColor indexed="64"/>
      </patternFill>
    </fill>
    <fill>
      <patternFill patternType="solid">
        <fgColor rgb="FFFF0040"/>
        <bgColor indexed="64"/>
      </patternFill>
    </fill>
    <fill>
      <patternFill patternType="solid">
        <fgColor rgb="FFE11E5E"/>
        <bgColor indexed="64"/>
      </patternFill>
    </fill>
    <fill>
      <patternFill patternType="solid">
        <fgColor rgb="FFF2F2F2"/>
      </patternFill>
    </fill>
    <fill>
      <patternFill patternType="solid">
        <fgColor theme="0"/>
        <bgColor indexed="64"/>
      </patternFill>
    </fill>
    <fill>
      <patternFill patternType="solid">
        <fgColor rgb="FFF6CE78"/>
        <bgColor indexed="64"/>
      </patternFill>
    </fill>
    <fill>
      <patternFill patternType="solid">
        <fgColor rgb="FFB43103"/>
        <bgColor indexed="64"/>
      </patternFill>
    </fill>
    <fill>
      <patternFill patternType="solid">
        <fgColor rgb="FFF5B60B"/>
        <bgColor indexed="64"/>
      </patternFill>
    </fill>
    <fill>
      <patternFill patternType="solid">
        <fgColor rgb="FFD79829"/>
        <bgColor indexed="64"/>
      </patternFill>
    </fill>
    <fill>
      <patternFill patternType="solid">
        <fgColor rgb="FFB97A47"/>
        <bgColor indexed="64"/>
      </patternFill>
    </fill>
    <fill>
      <patternFill patternType="solid">
        <fgColor rgb="FFAF8451"/>
        <bgColor indexed="64"/>
      </patternFill>
    </fill>
    <fill>
      <patternFill patternType="solid">
        <fgColor rgb="FFA57A5B"/>
        <bgColor indexed="64"/>
      </patternFill>
    </fill>
    <fill>
      <patternFill patternType="solid">
        <fgColor rgb="FF9B8465"/>
        <bgColor indexed="64"/>
      </patternFill>
    </fill>
    <fill>
      <patternFill patternType="solid">
        <fgColor rgb="FF3C7DC4"/>
        <bgColor indexed="64"/>
      </patternFill>
    </fill>
    <fill>
      <patternFill patternType="solid">
        <fgColor rgb="FF00B050"/>
        <bgColor indexed="64"/>
      </patternFill>
    </fill>
    <fill>
      <patternFill patternType="solid">
        <fgColor theme="1"/>
        <bgColor indexed="64"/>
      </patternFill>
    </fill>
    <fill>
      <patternFill patternType="solid">
        <fgColor theme="9"/>
        <bgColor indexed="64"/>
      </patternFill>
    </fill>
    <fill>
      <patternFill patternType="solid">
        <fgColor rgb="FF7030A0"/>
        <bgColor indexed="64"/>
      </patternFill>
    </fill>
    <fill>
      <patternFill patternType="solid">
        <fgColor rgb="FFFF66CC"/>
        <bgColor indexed="64"/>
      </patternFill>
    </fill>
    <fill>
      <patternFill patternType="solid">
        <fgColor theme="9" tint="-0.499984740745262"/>
        <bgColor indexed="64"/>
      </patternFill>
    </fill>
    <fill>
      <patternFill patternType="solid">
        <fgColor rgb="FFFFC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theme="0"/>
      </left>
      <right style="thin">
        <color theme="0"/>
      </right>
      <top style="thin">
        <color theme="0"/>
      </top>
      <bottom style="thin">
        <color theme="0"/>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s>
  <cellStyleXfs count="3">
    <xf numFmtId="0" fontId="0" fillId="0" borderId="0"/>
    <xf numFmtId="0" fontId="4" fillId="9" borderId="11" applyNumberFormat="0" applyAlignment="0" applyProtection="0"/>
    <xf numFmtId="0" fontId="6" fillId="9" borderId="12" applyNumberFormat="0" applyAlignment="0" applyProtection="0"/>
  </cellStyleXfs>
  <cellXfs count="114">
    <xf numFmtId="0" fontId="0" fillId="0" borderId="0" xfId="0"/>
    <xf numFmtId="0" fontId="0" fillId="0" borderId="1" xfId="0" applyFill="1" applyBorder="1" applyAlignment="1">
      <alignment horizontal="left"/>
    </xf>
    <xf numFmtId="0" fontId="0" fillId="0" borderId="1" xfId="0" applyBorder="1" applyAlignment="1">
      <alignment horizontal="left"/>
    </xf>
    <xf numFmtId="0" fontId="2" fillId="0" borderId="1" xfId="0" applyFont="1" applyFill="1" applyBorder="1" applyAlignment="1">
      <alignment horizontal="left"/>
    </xf>
    <xf numFmtId="0" fontId="0" fillId="2" borderId="1" xfId="0" applyFill="1" applyBorder="1" applyAlignment="1">
      <alignment horizontal="left"/>
    </xf>
    <xf numFmtId="49" fontId="0" fillId="0" borderId="1" xfId="0" applyNumberFormat="1" applyBorder="1" applyAlignment="1">
      <alignment horizontal="left"/>
    </xf>
    <xf numFmtId="0" fontId="1" fillId="0" borderId="1" xfId="0" applyFont="1" applyBorder="1" applyAlignment="1">
      <alignment horizontal="left"/>
    </xf>
    <xf numFmtId="0" fontId="2" fillId="0" borderId="1" xfId="0" applyFont="1" applyBorder="1" applyAlignment="1">
      <alignment horizontal="left"/>
    </xf>
    <xf numFmtId="0" fontId="2" fillId="2" borderId="1" xfId="0" applyFont="1" applyFill="1" applyBorder="1" applyAlignment="1">
      <alignment horizontal="left"/>
    </xf>
    <xf numFmtId="0" fontId="0" fillId="0" borderId="0" xfId="0" applyFill="1" applyBorder="1"/>
    <xf numFmtId="0" fontId="2" fillId="0" borderId="0" xfId="0" applyFont="1" applyFill="1" applyBorder="1"/>
    <xf numFmtId="0" fontId="1" fillId="0" borderId="0" xfId="0" applyFont="1" applyFill="1" applyBorder="1"/>
    <xf numFmtId="0" fontId="0" fillId="0" borderId="1" xfId="0" applyBorder="1"/>
    <xf numFmtId="0" fontId="3" fillId="3" borderId="2" xfId="0" applyFont="1" applyFill="1" applyBorder="1" applyAlignment="1">
      <alignment horizontal="left" vertical="center"/>
    </xf>
    <xf numFmtId="0" fontId="0" fillId="0" borderId="3" xfId="0" applyFill="1" applyBorder="1" applyAlignment="1">
      <alignment horizontal="left"/>
    </xf>
    <xf numFmtId="0" fontId="0" fillId="0" borderId="4" xfId="0" applyFill="1" applyBorder="1" applyAlignment="1">
      <alignment horizontal="left"/>
    </xf>
    <xf numFmtId="0" fontId="0" fillId="0" borderId="6" xfId="0" applyFill="1" applyBorder="1" applyAlignment="1">
      <alignment horizontal="left"/>
    </xf>
    <xf numFmtId="0" fontId="0" fillId="0" borderId="8" xfId="0" applyFill="1" applyBorder="1" applyAlignment="1">
      <alignment horizontal="left"/>
    </xf>
    <xf numFmtId="0" fontId="0" fillId="0" borderId="9"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0" borderId="6" xfId="0" applyBorder="1" applyAlignment="1">
      <alignment horizontal="left"/>
    </xf>
    <xf numFmtId="0" fontId="0" fillId="2" borderId="6" xfId="0" applyFill="1" applyBorder="1" applyAlignment="1">
      <alignment horizontal="left"/>
    </xf>
    <xf numFmtId="0" fontId="0" fillId="2" borderId="8" xfId="0" applyFill="1" applyBorder="1" applyAlignment="1">
      <alignment horizontal="left"/>
    </xf>
    <xf numFmtId="0" fontId="0" fillId="2" borderId="9" xfId="0" applyFill="1"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9" xfId="0" applyBorder="1" applyAlignment="1">
      <alignment horizontal="left"/>
    </xf>
    <xf numFmtId="0" fontId="0" fillId="0" borderId="0" xfId="0"/>
    <xf numFmtId="0" fontId="0" fillId="0" borderId="0" xfId="0" applyAlignment="1">
      <alignment horizontal="left"/>
    </xf>
    <xf numFmtId="0" fontId="1" fillId="0" borderId="0" xfId="0" applyFont="1"/>
    <xf numFmtId="0" fontId="0" fillId="10" borderId="1" xfId="0" applyFill="1" applyBorder="1"/>
    <xf numFmtId="0" fontId="5" fillId="9" borderId="3" xfId="1" applyFont="1" applyBorder="1" applyAlignment="1">
      <alignment horizontal="center"/>
    </xf>
    <xf numFmtId="0" fontId="5" fillId="9" borderId="4" xfId="1" applyFont="1" applyBorder="1" applyAlignment="1">
      <alignment horizontal="center"/>
    </xf>
    <xf numFmtId="0" fontId="5" fillId="2" borderId="5" xfId="1" applyFont="1" applyFill="1" applyBorder="1" applyAlignment="1">
      <alignment horizontal="center"/>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6" fillId="9" borderId="3" xfId="2" applyBorder="1" applyAlignment="1">
      <alignment horizontal="center"/>
    </xf>
    <xf numFmtId="0" fontId="6" fillId="2" borderId="5" xfId="2" applyFill="1" applyBorder="1" applyAlignment="1">
      <alignment horizontal="center"/>
    </xf>
    <xf numFmtId="0" fontId="0" fillId="10" borderId="6" xfId="0" applyFill="1" applyBorder="1"/>
    <xf numFmtId="0" fontId="0" fillId="10" borderId="7" xfId="0" applyFill="1" applyBorder="1"/>
    <xf numFmtId="0" fontId="6" fillId="9" borderId="13" xfId="2" applyBorder="1" applyAlignment="1">
      <alignment horizontal="center"/>
    </xf>
    <xf numFmtId="0" fontId="0" fillId="10" borderId="14" xfId="0" applyFill="1" applyBorder="1"/>
    <xf numFmtId="0" fontId="0" fillId="0" borderId="15" xfId="0" applyBorder="1" applyAlignment="1">
      <alignment horizontal="left"/>
    </xf>
    <xf numFmtId="0" fontId="0" fillId="0" borderId="2" xfId="0" applyBorder="1" applyAlignment="1">
      <alignment horizontal="left"/>
    </xf>
    <xf numFmtId="0" fontId="0" fillId="2" borderId="1" xfId="0" applyFill="1" applyBorder="1"/>
    <xf numFmtId="0" fontId="0" fillId="2" borderId="4" xfId="0" applyFill="1" applyBorder="1"/>
    <xf numFmtId="0" fontId="0" fillId="4" borderId="16" xfId="0" applyFill="1" applyBorder="1" applyAlignment="1">
      <alignment horizontal="left"/>
    </xf>
    <xf numFmtId="0" fontId="0" fillId="19" borderId="16" xfId="0" applyFill="1" applyBorder="1" applyAlignment="1">
      <alignment horizontal="left"/>
    </xf>
    <xf numFmtId="0" fontId="0" fillId="7" borderId="16" xfId="0" applyFill="1" applyBorder="1" applyAlignment="1">
      <alignment horizontal="left"/>
    </xf>
    <xf numFmtId="0" fontId="0" fillId="20" borderId="16" xfId="0" applyFill="1" applyBorder="1" applyAlignment="1">
      <alignment horizontal="left"/>
    </xf>
    <xf numFmtId="0" fontId="0" fillId="13" borderId="16" xfId="0" applyFill="1" applyBorder="1" applyAlignment="1">
      <alignment horizontal="left"/>
    </xf>
    <xf numFmtId="0" fontId="0" fillId="14" borderId="16" xfId="0" applyFill="1" applyBorder="1" applyAlignment="1">
      <alignment horizontal="left"/>
    </xf>
    <xf numFmtId="0" fontId="0" fillId="15" borderId="16" xfId="0" applyFill="1" applyBorder="1" applyAlignment="1">
      <alignment horizontal="left"/>
    </xf>
    <xf numFmtId="0" fontId="0" fillId="16" borderId="16" xfId="0" applyFill="1" applyBorder="1" applyAlignment="1">
      <alignment horizontal="left"/>
    </xf>
    <xf numFmtId="0" fontId="0" fillId="17" borderId="16" xfId="0" applyFill="1" applyBorder="1" applyAlignment="1">
      <alignment horizontal="left"/>
    </xf>
    <xf numFmtId="0" fontId="0" fillId="18" borderId="16" xfId="0" applyFill="1" applyBorder="1" applyAlignment="1">
      <alignment horizontal="left"/>
    </xf>
    <xf numFmtId="0" fontId="0" fillId="8" borderId="16" xfId="0" applyFill="1" applyBorder="1" applyAlignment="1">
      <alignment horizontal="left"/>
    </xf>
    <xf numFmtId="0" fontId="0" fillId="11" borderId="16" xfId="0" applyFill="1" applyBorder="1" applyAlignment="1">
      <alignment horizontal="left"/>
    </xf>
    <xf numFmtId="0" fontId="0" fillId="5" borderId="16" xfId="0" applyFill="1" applyBorder="1" applyAlignment="1">
      <alignment horizontal="left"/>
    </xf>
    <xf numFmtId="0" fontId="0" fillId="6" borderId="16" xfId="0" applyFill="1" applyBorder="1" applyAlignment="1">
      <alignment horizontal="left"/>
    </xf>
    <xf numFmtId="0" fontId="0" fillId="12" borderId="16" xfId="0" applyFill="1" applyBorder="1" applyAlignment="1">
      <alignment horizontal="left"/>
    </xf>
    <xf numFmtId="0" fontId="3" fillId="3" borderId="17" xfId="0" applyFont="1" applyFill="1" applyBorder="1" applyAlignment="1">
      <alignment horizontal="left" vertical="center"/>
    </xf>
    <xf numFmtId="0" fontId="0" fillId="0" borderId="13" xfId="0" applyFill="1" applyBorder="1" applyAlignment="1">
      <alignment horizontal="left"/>
    </xf>
    <xf numFmtId="0" fontId="0" fillId="0" borderId="14" xfId="0" applyFill="1" applyBorder="1" applyAlignment="1">
      <alignment horizontal="left"/>
    </xf>
    <xf numFmtId="0" fontId="2" fillId="0" borderId="14" xfId="0" applyFont="1" applyFill="1" applyBorder="1" applyAlignment="1">
      <alignment horizontal="left"/>
    </xf>
    <xf numFmtId="0" fontId="0" fillId="0" borderId="18" xfId="0" applyFill="1" applyBorder="1" applyAlignment="1">
      <alignment horizontal="left"/>
    </xf>
    <xf numFmtId="0" fontId="0" fillId="2" borderId="13" xfId="0" applyFill="1" applyBorder="1" applyAlignment="1">
      <alignment horizontal="left"/>
    </xf>
    <xf numFmtId="0" fontId="0" fillId="0" borderId="14" xfId="0" applyBorder="1" applyAlignment="1">
      <alignment horizontal="left"/>
    </xf>
    <xf numFmtId="0" fontId="0" fillId="2" borderId="14" xfId="0" applyFill="1" applyBorder="1" applyAlignment="1">
      <alignment horizontal="left"/>
    </xf>
    <xf numFmtId="0" fontId="1" fillId="0" borderId="14" xfId="0" applyFont="1" applyBorder="1" applyAlignment="1">
      <alignment horizontal="left"/>
    </xf>
    <xf numFmtId="0" fontId="2" fillId="0" borderId="14" xfId="0" applyFont="1" applyBorder="1" applyAlignment="1">
      <alignment horizontal="left"/>
    </xf>
    <xf numFmtId="0" fontId="2" fillId="2" borderId="14" xfId="0" applyFont="1" applyFill="1" applyBorder="1" applyAlignment="1">
      <alignment horizontal="left"/>
    </xf>
    <xf numFmtId="0" fontId="0" fillId="2" borderId="18" xfId="0" applyFill="1" applyBorder="1" applyAlignment="1">
      <alignment horizontal="left"/>
    </xf>
    <xf numFmtId="0" fontId="0" fillId="0" borderId="13" xfId="0" applyBorder="1" applyAlignment="1">
      <alignment horizontal="left"/>
    </xf>
    <xf numFmtId="0" fontId="0" fillId="0" borderId="17" xfId="0" applyBorder="1" applyAlignment="1">
      <alignment horizontal="left"/>
    </xf>
    <xf numFmtId="0" fontId="0" fillId="2" borderId="13" xfId="0" applyFill="1" applyBorder="1"/>
    <xf numFmtId="0" fontId="0" fillId="0" borderId="14" xfId="0" applyBorder="1"/>
    <xf numFmtId="0" fontId="0" fillId="2" borderId="14" xfId="0" applyFill="1" applyBorder="1"/>
    <xf numFmtId="0" fontId="0" fillId="0" borderId="18" xfId="0" applyBorder="1"/>
    <xf numFmtId="0" fontId="2" fillId="0" borderId="19" xfId="0" applyFont="1" applyFill="1" applyBorder="1" applyAlignment="1">
      <alignment horizontal="left"/>
    </xf>
    <xf numFmtId="0" fontId="10" fillId="21" borderId="0" xfId="0" applyFont="1" applyFill="1"/>
    <xf numFmtId="0" fontId="0" fillId="22" borderId="16" xfId="0" applyFill="1" applyBorder="1" applyAlignment="1">
      <alignment horizontal="left"/>
    </xf>
    <xf numFmtId="0" fontId="1" fillId="0" borderId="1" xfId="0" applyFont="1" applyBorder="1"/>
    <xf numFmtId="0" fontId="0" fillId="23" borderId="0" xfId="0" applyFill="1"/>
    <xf numFmtId="0" fontId="0" fillId="2" borderId="0" xfId="0" applyFill="1"/>
    <xf numFmtId="0" fontId="0" fillId="24" borderId="0" xfId="0" applyFill="1"/>
    <xf numFmtId="0" fontId="0" fillId="25" borderId="16" xfId="0" applyFill="1" applyBorder="1" applyAlignment="1">
      <alignment horizontal="left"/>
    </xf>
    <xf numFmtId="2" fontId="3" fillId="3" borderId="2" xfId="0" applyNumberFormat="1" applyFont="1" applyFill="1" applyBorder="1" applyAlignment="1">
      <alignment horizontal="left" vertical="center"/>
    </xf>
    <xf numFmtId="0" fontId="3" fillId="3" borderId="2" xfId="0" applyNumberFormat="1" applyFont="1" applyFill="1" applyBorder="1" applyAlignment="1">
      <alignment horizontal="left" vertical="center"/>
    </xf>
    <xf numFmtId="1" fontId="0" fillId="0" borderId="4" xfId="0" applyNumberFormat="1" applyFill="1" applyBorder="1" applyAlignment="1">
      <alignment horizontal="left"/>
    </xf>
    <xf numFmtId="0" fontId="1" fillId="0" borderId="5" xfId="0" applyNumberFormat="1" applyFont="1" applyFill="1" applyBorder="1"/>
    <xf numFmtId="1" fontId="0" fillId="0" borderId="1" xfId="0" applyNumberFormat="1" applyFill="1" applyBorder="1" applyAlignment="1">
      <alignment horizontal="left"/>
    </xf>
    <xf numFmtId="0" fontId="1" fillId="0" borderId="7" xfId="0" applyNumberFormat="1" applyFont="1" applyFill="1" applyBorder="1"/>
    <xf numFmtId="1" fontId="0" fillId="0" borderId="9" xfId="0" applyNumberFormat="1" applyFill="1" applyBorder="1" applyAlignment="1">
      <alignment horizontal="left"/>
    </xf>
    <xf numFmtId="0" fontId="1" fillId="0" borderId="10" xfId="0" applyNumberFormat="1" applyFont="1" applyFill="1" applyBorder="1"/>
    <xf numFmtId="1" fontId="11" fillId="2" borderId="1" xfId="0" applyNumberFormat="1" applyFont="1" applyFill="1" applyBorder="1" applyAlignment="1">
      <alignment horizontal="left"/>
    </xf>
    <xf numFmtId="0" fontId="0" fillId="0" borderId="5" xfId="0" applyNumberFormat="1" applyFill="1" applyBorder="1"/>
    <xf numFmtId="0" fontId="0" fillId="0" borderId="7" xfId="0" applyNumberFormat="1" applyFill="1" applyBorder="1"/>
    <xf numFmtId="1" fontId="0" fillId="0" borderId="2" xfId="0" applyNumberFormat="1" applyFill="1" applyBorder="1" applyAlignment="1">
      <alignment horizontal="left"/>
    </xf>
    <xf numFmtId="0" fontId="0" fillId="0" borderId="20" xfId="0" applyNumberFormat="1" applyFill="1" applyBorder="1"/>
    <xf numFmtId="0" fontId="1" fillId="0" borderId="5" xfId="0" applyNumberFormat="1" applyFont="1" applyFill="1" applyBorder="1" applyAlignment="1">
      <alignment horizontal="left"/>
    </xf>
    <xf numFmtId="0" fontId="1" fillId="0" borderId="7" xfId="0" applyNumberFormat="1" applyFont="1" applyFill="1" applyBorder="1" applyAlignment="1">
      <alignment horizontal="left"/>
    </xf>
    <xf numFmtId="0" fontId="1" fillId="0" borderId="10" xfId="0" applyNumberFormat="1" applyFont="1" applyFill="1" applyBorder="1" applyAlignment="1">
      <alignment horizontal="left"/>
    </xf>
    <xf numFmtId="2" fontId="0" fillId="0" borderId="0" xfId="0" applyNumberFormat="1" applyFill="1"/>
    <xf numFmtId="0" fontId="0" fillId="0" borderId="0" xfId="0" applyNumberFormat="1" applyFill="1"/>
    <xf numFmtId="0" fontId="0" fillId="26" borderId="6" xfId="0" applyFill="1" applyBorder="1" applyAlignment="1">
      <alignment horizontal="left"/>
    </xf>
    <xf numFmtId="0" fontId="1" fillId="26" borderId="1" xfId="0" applyFont="1" applyFill="1" applyBorder="1" applyAlignment="1">
      <alignment horizontal="left"/>
    </xf>
    <xf numFmtId="0" fontId="0" fillId="26" borderId="14" xfId="0" applyFill="1" applyBorder="1" applyAlignment="1">
      <alignment horizontal="left"/>
    </xf>
    <xf numFmtId="1" fontId="0" fillId="26" borderId="1" xfId="0" applyNumberFormat="1" applyFill="1" applyBorder="1" applyAlignment="1">
      <alignment horizontal="left"/>
    </xf>
    <xf numFmtId="0" fontId="1" fillId="26" borderId="7" xfId="0" applyNumberFormat="1" applyFont="1" applyFill="1" applyBorder="1"/>
  </cellXfs>
  <cellStyles count="3">
    <cellStyle name="Calculation" xfId="1" builtinId="22"/>
    <cellStyle name="Normal" xfId="0" builtinId="0"/>
    <cellStyle name="Output" xfId="2" builtinId="21"/>
  </cellStyles>
  <dxfs count="0"/>
  <tableStyles count="0" defaultTableStyle="TableStyleMedium2" defaultPivotStyle="PivotStyleLight16"/>
  <colors>
    <mruColors>
      <color rgb="FFFF66CC"/>
      <color rgb="FFF86868"/>
      <color rgb="FFA00808"/>
      <color rgb="FF3F8D53"/>
      <color rgb="FFF9FC82"/>
      <color rgb="FFC9F1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3</xdr:col>
      <xdr:colOff>304800</xdr:colOff>
      <xdr:row>8</xdr:row>
      <xdr:rowOff>123825</xdr:rowOff>
    </xdr:to>
    <xdr:sp macro="" textlink="">
      <xdr:nvSpPr>
        <xdr:cNvPr id="1025" name="AutoShape 1" descr="תוצאת תמונה עבור ‪play button‬‏"/>
        <xdr:cNvSpPr>
          <a:spLocks noChangeAspect="1" noChangeArrowheads="1"/>
        </xdr:cNvSpPr>
      </xdr:nvSpPr>
      <xdr:spPr bwMode="auto">
        <a:xfrm>
          <a:off x="5229225" y="1276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76200</xdr:rowOff>
        </xdr:from>
        <xdr:to>
          <xdr:col>14</xdr:col>
          <xdr:colOff>514350</xdr:colOff>
          <xdr:row>3</xdr:row>
          <xdr:rowOff>95250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Arial"/>
                  <a:cs typeface="Arial"/>
                </a:rPr>
                <a:t>Translate</a:t>
              </a:r>
            </a:p>
          </xdr:txBody>
        </xdr:sp>
        <xdr:clientData fPrintsWithSheet="0"/>
      </xdr:twoCellAnchor>
    </mc:Choice>
    <mc:Fallback/>
  </mc:AlternateContent>
  <xdr:twoCellAnchor>
    <xdr:from>
      <xdr:col>13</xdr:col>
      <xdr:colOff>161925</xdr:colOff>
      <xdr:row>4</xdr:row>
      <xdr:rowOff>47625</xdr:rowOff>
    </xdr:from>
    <xdr:to>
      <xdr:col>16</xdr:col>
      <xdr:colOff>571500</xdr:colOff>
      <xdr:row>7</xdr:row>
      <xdr:rowOff>95250</xdr:rowOff>
    </xdr:to>
    <xdr:sp macro="" textlink="">
      <xdr:nvSpPr>
        <xdr:cNvPr id="2" name="TextBox 1"/>
        <xdr:cNvSpPr txBox="1"/>
      </xdr:nvSpPr>
      <xdr:spPr>
        <a:xfrm>
          <a:off x="14306550" y="781050"/>
          <a:ext cx="2466975" cy="5905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1" anchor="t"/>
        <a:lstStyle/>
        <a:p>
          <a:pPr rtl="1"/>
          <a:r>
            <a:rPr lang="he-IL" sz="1100"/>
            <a:t>מלא את הקידוחים בעמודה  </a:t>
          </a:r>
          <a:r>
            <a:rPr lang="en-US" sz="1100"/>
            <a:t>L</a:t>
          </a:r>
          <a:r>
            <a:rPr lang="he-IL" sz="1100"/>
            <a:t>. לחץ על הכפתור</a:t>
          </a:r>
          <a:r>
            <a:rPr lang="he-IL" sz="1100" baseline="0"/>
            <a:t> ומלא את אורך הסדרה בחלונית הקופצת.</a:t>
          </a:r>
          <a:endParaRPr lang="he-IL"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גיליון1"/>
  <dimension ref="A1:J690"/>
  <sheetViews>
    <sheetView zoomScale="80" zoomScaleNormal="80" workbookViewId="0">
      <pane ySplit="1" topLeftCell="A240" activePane="bottomLeft" state="frozen"/>
      <selection pane="bottomLeft" activeCell="G268" sqref="G268"/>
    </sheetView>
  </sheetViews>
  <sheetFormatPr defaultColWidth="9" defaultRowHeight="15" x14ac:dyDescent="0.25"/>
  <cols>
    <col min="1" max="1" width="11.28515625" bestFit="1" customWidth="1"/>
    <col min="2" max="2" width="15.42578125" bestFit="1" customWidth="1"/>
    <col min="3" max="3" width="44.28515625" customWidth="1"/>
    <col min="4" max="4" width="11.28515625" customWidth="1"/>
    <col min="5" max="5" width="9.42578125" style="28" bestFit="1" customWidth="1"/>
    <col min="6" max="7" width="10.7109375" style="28" bestFit="1" customWidth="1"/>
    <col min="8" max="8" width="45" customWidth="1"/>
    <col min="9" max="9" width="21.42578125" style="107" bestFit="1" customWidth="1"/>
    <col min="10" max="10" width="18.85546875" style="108" bestFit="1" customWidth="1"/>
    <col min="11" max="16384" width="9" style="9"/>
  </cols>
  <sheetData>
    <row r="1" spans="1:10" ht="48.75" customHeight="1" thickBot="1" x14ac:dyDescent="0.3">
      <c r="A1" s="13" t="s">
        <v>415</v>
      </c>
      <c r="B1" s="13" t="s">
        <v>417</v>
      </c>
      <c r="C1" s="13" t="s">
        <v>416</v>
      </c>
      <c r="D1" s="13" t="s">
        <v>419</v>
      </c>
      <c r="E1" s="13" t="s">
        <v>2296</v>
      </c>
      <c r="F1" s="13" t="s">
        <v>2297</v>
      </c>
      <c r="G1" s="13" t="s">
        <v>420</v>
      </c>
      <c r="H1" s="65" t="s">
        <v>421</v>
      </c>
      <c r="I1" s="91" t="s">
        <v>2591</v>
      </c>
      <c r="J1" s="92" t="s">
        <v>2592</v>
      </c>
    </row>
    <row r="2" spans="1:10" x14ac:dyDescent="0.25">
      <c r="A2" s="14" t="s">
        <v>521</v>
      </c>
      <c r="B2" s="15">
        <v>0</v>
      </c>
      <c r="C2" s="15" t="s">
        <v>489</v>
      </c>
      <c r="D2" s="15"/>
      <c r="E2" s="15">
        <v>1</v>
      </c>
      <c r="F2" s="15"/>
      <c r="G2" s="15" t="str">
        <f>VLOOKUP(E2,geoINDEX50!$A:$C,3,FALSE)</f>
        <v>#F5F5F5</v>
      </c>
      <c r="H2" s="66" t="s">
        <v>2590</v>
      </c>
      <c r="I2" s="93">
        <v>1</v>
      </c>
      <c r="J2" s="94" t="s">
        <v>2593</v>
      </c>
    </row>
    <row r="3" spans="1:10" ht="15" customHeight="1" x14ac:dyDescent="0.25">
      <c r="A3" s="16" t="s">
        <v>521</v>
      </c>
      <c r="B3" s="1">
        <v>1</v>
      </c>
      <c r="C3" s="1" t="s">
        <v>490</v>
      </c>
      <c r="D3" s="1"/>
      <c r="E3" s="1">
        <v>314</v>
      </c>
      <c r="F3" s="1"/>
      <c r="G3" s="1" t="str">
        <f>VLOOKUP(E3,geoINDEX50!$A:$C,3,FALSE)</f>
        <v>#C7EBFA</v>
      </c>
      <c r="H3" s="67" t="s">
        <v>2598</v>
      </c>
      <c r="I3" s="95">
        <v>2</v>
      </c>
      <c r="J3" s="96" t="s">
        <v>2593</v>
      </c>
    </row>
    <row r="4" spans="1:10" x14ac:dyDescent="0.25">
      <c r="A4" s="16" t="s">
        <v>521</v>
      </c>
      <c r="B4" s="1">
        <v>2</v>
      </c>
      <c r="C4" s="1" t="s">
        <v>491</v>
      </c>
      <c r="D4" s="1"/>
      <c r="E4" s="1">
        <v>62</v>
      </c>
      <c r="F4" s="1" t="s">
        <v>2298</v>
      </c>
      <c r="G4" s="1" t="str">
        <f>VLOOKUP(E4,geoINDEX50!$A:$C,3,FALSE)</f>
        <v>#F3CC00</v>
      </c>
      <c r="H4" s="67" t="s">
        <v>2599</v>
      </c>
      <c r="I4" s="95">
        <v>3</v>
      </c>
      <c r="J4" s="96" t="s">
        <v>2593</v>
      </c>
    </row>
    <row r="5" spans="1:10" x14ac:dyDescent="0.25">
      <c r="A5" s="16" t="s">
        <v>521</v>
      </c>
      <c r="B5" s="1">
        <v>3</v>
      </c>
      <c r="C5" s="1" t="s">
        <v>140</v>
      </c>
      <c r="D5" s="1"/>
      <c r="E5" s="1">
        <v>6</v>
      </c>
      <c r="F5" s="1"/>
      <c r="G5" s="1" t="str">
        <f>VLOOKUP(E5,geoINDEX50!$A:$C,3,FALSE)</f>
        <v>#FFD27B</v>
      </c>
      <c r="H5" s="67" t="s">
        <v>2600</v>
      </c>
      <c r="I5" s="95">
        <v>4</v>
      </c>
      <c r="J5" s="96" t="s">
        <v>2593</v>
      </c>
    </row>
    <row r="6" spans="1:10" x14ac:dyDescent="0.25">
      <c r="A6" s="16" t="s">
        <v>521</v>
      </c>
      <c r="B6" s="1">
        <v>4</v>
      </c>
      <c r="C6" s="1" t="s">
        <v>136</v>
      </c>
      <c r="D6" s="1"/>
      <c r="E6" s="1">
        <v>50</v>
      </c>
      <c r="F6" s="1"/>
      <c r="G6" s="1" t="str">
        <f>VLOOKUP(E6,geoINDEX50!$A:$C,3,FALSE)</f>
        <v>#C2B600</v>
      </c>
      <c r="H6" s="67" t="s">
        <v>2601</v>
      </c>
      <c r="I6" s="95">
        <v>5</v>
      </c>
      <c r="J6" s="96" t="s">
        <v>2593</v>
      </c>
    </row>
    <row r="7" spans="1:10" x14ac:dyDescent="0.25">
      <c r="A7" s="16" t="s">
        <v>521</v>
      </c>
      <c r="B7" s="1">
        <v>5</v>
      </c>
      <c r="C7" s="1" t="s">
        <v>128</v>
      </c>
      <c r="D7" s="1"/>
      <c r="E7" s="1">
        <v>220</v>
      </c>
      <c r="F7" s="1"/>
      <c r="G7" s="1" t="str">
        <f>VLOOKUP(E7,geoINDEX50!$A:$C,3,FALSE)</f>
        <v>#55BB48</v>
      </c>
      <c r="H7" s="67" t="s">
        <v>2602</v>
      </c>
      <c r="I7" s="95">
        <v>6</v>
      </c>
      <c r="J7" s="96" t="s">
        <v>2593</v>
      </c>
    </row>
    <row r="8" spans="1:10" x14ac:dyDescent="0.25">
      <c r="A8" s="16" t="s">
        <v>521</v>
      </c>
      <c r="B8" s="1">
        <v>6</v>
      </c>
      <c r="C8" s="1" t="s">
        <v>98</v>
      </c>
      <c r="D8" s="2"/>
      <c r="E8" s="1">
        <v>15</v>
      </c>
      <c r="F8" s="1"/>
      <c r="G8" s="1" t="str">
        <f>VLOOKUP(E8,geoINDEX50!$A:$C,3,FALSE)</f>
        <v>#FFCC71</v>
      </c>
      <c r="H8" s="67" t="s">
        <v>2603</v>
      </c>
      <c r="I8" s="95">
        <v>7</v>
      </c>
      <c r="J8" s="96" t="s">
        <v>2593</v>
      </c>
    </row>
    <row r="9" spans="1:10" x14ac:dyDescent="0.25">
      <c r="A9" s="16" t="s">
        <v>521</v>
      </c>
      <c r="B9" s="1">
        <v>7</v>
      </c>
      <c r="C9" s="1" t="s">
        <v>84</v>
      </c>
      <c r="D9" s="1"/>
      <c r="E9" s="1">
        <v>54</v>
      </c>
      <c r="F9" s="1"/>
      <c r="G9" s="1" t="str">
        <f>VLOOKUP(E9,geoINDEX50!$A:$C,3,FALSE)</f>
        <v>#82B000</v>
      </c>
      <c r="H9" s="67" t="s">
        <v>2604</v>
      </c>
      <c r="I9" s="95">
        <v>8</v>
      </c>
      <c r="J9" s="96" t="s">
        <v>2593</v>
      </c>
    </row>
    <row r="10" spans="1:10" x14ac:dyDescent="0.25">
      <c r="A10" s="16" t="s">
        <v>521</v>
      </c>
      <c r="B10" s="1">
        <v>8</v>
      </c>
      <c r="C10" s="1" t="s">
        <v>245</v>
      </c>
      <c r="D10" s="1"/>
      <c r="E10" s="1">
        <v>220</v>
      </c>
      <c r="F10" s="1"/>
      <c r="G10" s="1" t="str">
        <f>VLOOKUP(E10,geoINDEX50!$A:$C,3,FALSE)</f>
        <v>#55BB48</v>
      </c>
      <c r="H10" s="67" t="s">
        <v>2605</v>
      </c>
      <c r="I10" s="95">
        <v>9</v>
      </c>
      <c r="J10" s="96" t="s">
        <v>2593</v>
      </c>
    </row>
    <row r="11" spans="1:10" x14ac:dyDescent="0.25">
      <c r="A11" s="16" t="s">
        <v>521</v>
      </c>
      <c r="B11" s="1">
        <v>9</v>
      </c>
      <c r="C11" s="1" t="s">
        <v>61</v>
      </c>
      <c r="D11" s="1"/>
      <c r="E11" s="1">
        <v>43</v>
      </c>
      <c r="F11" s="1" t="s">
        <v>2298</v>
      </c>
      <c r="G11" s="1" t="str">
        <f>VLOOKUP(E11,geoINDEX50!$A:$C,3,FALSE)</f>
        <v>#BDD7CC</v>
      </c>
      <c r="H11" s="1" t="s">
        <v>2606</v>
      </c>
      <c r="I11" s="95">
        <v>10</v>
      </c>
      <c r="J11" s="96" t="s">
        <v>2593</v>
      </c>
    </row>
    <row r="12" spans="1:10" s="10" customFormat="1" x14ac:dyDescent="0.25">
      <c r="A12" s="16" t="s">
        <v>521</v>
      </c>
      <c r="B12" s="3">
        <v>10</v>
      </c>
      <c r="C12" s="3" t="s">
        <v>200</v>
      </c>
      <c r="D12" s="3"/>
      <c r="E12" s="3">
        <v>185</v>
      </c>
      <c r="F12" s="3"/>
      <c r="G12" s="3" t="str">
        <f>VLOOKUP(E12,geoINDEX50!$A:$C,3,FALSE)</f>
        <v>#7ECCBC</v>
      </c>
      <c r="H12" s="83" t="s">
        <v>2607</v>
      </c>
      <c r="I12" s="95">
        <v>11</v>
      </c>
      <c r="J12" s="96" t="s">
        <v>2593</v>
      </c>
    </row>
    <row r="13" spans="1:10" s="10" customFormat="1" x14ac:dyDescent="0.25">
      <c r="A13" s="16" t="s">
        <v>521</v>
      </c>
      <c r="B13" s="3">
        <v>11</v>
      </c>
      <c r="C13" s="3" t="s">
        <v>201</v>
      </c>
      <c r="D13" s="3"/>
      <c r="E13" s="3">
        <v>260</v>
      </c>
      <c r="F13" s="3"/>
      <c r="G13" s="3" t="str">
        <f>VLOOKUP(E13,geoINDEX50!$A:$C,3,FALSE)</f>
        <v>#CFA6CF</v>
      </c>
      <c r="H13" s="68" t="s">
        <v>2608</v>
      </c>
      <c r="I13" s="95">
        <v>12</v>
      </c>
      <c r="J13" s="96" t="s">
        <v>2593</v>
      </c>
    </row>
    <row r="14" spans="1:10" s="10" customFormat="1" x14ac:dyDescent="0.25">
      <c r="A14" s="16" t="s">
        <v>521</v>
      </c>
      <c r="B14" s="3">
        <v>12</v>
      </c>
      <c r="C14" s="3" t="s">
        <v>202</v>
      </c>
      <c r="D14" s="3"/>
      <c r="E14" s="3">
        <v>367</v>
      </c>
      <c r="F14" s="3" t="s">
        <v>2299</v>
      </c>
      <c r="G14" s="3" t="str">
        <f>VLOOKUP(E14,geoINDEX50!$A:$C,3,FALSE)</f>
        <v>#D18717</v>
      </c>
      <c r="H14" s="68" t="s">
        <v>2609</v>
      </c>
      <c r="I14" s="95">
        <v>13</v>
      </c>
      <c r="J14" s="96" t="s">
        <v>2593</v>
      </c>
    </row>
    <row r="15" spans="1:10" s="10" customFormat="1" x14ac:dyDescent="0.25">
      <c r="A15" s="16" t="s">
        <v>521</v>
      </c>
      <c r="B15" s="3">
        <v>13</v>
      </c>
      <c r="C15" s="3" t="s">
        <v>203</v>
      </c>
      <c r="D15" s="3"/>
      <c r="E15" s="3"/>
      <c r="F15" s="3"/>
      <c r="G15" s="3" t="s">
        <v>1399</v>
      </c>
      <c r="H15" s="68" t="s">
        <v>2610</v>
      </c>
      <c r="I15" s="95">
        <v>14</v>
      </c>
      <c r="J15" s="96" t="s">
        <v>2593</v>
      </c>
    </row>
    <row r="16" spans="1:10" x14ac:dyDescent="0.25">
      <c r="A16" s="16" t="s">
        <v>521</v>
      </c>
      <c r="B16" s="3">
        <v>14</v>
      </c>
      <c r="C16" s="3" t="s">
        <v>360</v>
      </c>
      <c r="D16" s="1"/>
      <c r="E16" s="3"/>
      <c r="F16" s="3"/>
      <c r="G16" s="3" t="s">
        <v>2305</v>
      </c>
      <c r="H16" s="67" t="s">
        <v>2611</v>
      </c>
      <c r="I16" s="95">
        <v>15</v>
      </c>
      <c r="J16" s="96" t="s">
        <v>2593</v>
      </c>
    </row>
    <row r="17" spans="1:10" x14ac:dyDescent="0.25">
      <c r="A17" s="16" t="s">
        <v>521</v>
      </c>
      <c r="B17" s="1">
        <v>-999</v>
      </c>
      <c r="C17" s="1" t="s">
        <v>414</v>
      </c>
      <c r="D17" s="1"/>
      <c r="E17" s="1"/>
      <c r="F17" s="1"/>
      <c r="G17" s="1" t="s">
        <v>2306</v>
      </c>
      <c r="H17" s="67" t="s">
        <v>2612</v>
      </c>
      <c r="I17" s="95">
        <v>16</v>
      </c>
      <c r="J17" s="96" t="s">
        <v>2593</v>
      </c>
    </row>
    <row r="18" spans="1:10" ht="15.75" thickBot="1" x14ac:dyDescent="0.3">
      <c r="A18" s="17" t="s">
        <v>521</v>
      </c>
      <c r="B18" s="18">
        <v>-888</v>
      </c>
      <c r="C18" s="18" t="s">
        <v>802</v>
      </c>
      <c r="D18" s="18"/>
      <c r="E18" s="18"/>
      <c r="F18" s="18"/>
      <c r="G18" s="18" t="s">
        <v>2306</v>
      </c>
      <c r="H18" s="69" t="s">
        <v>2613</v>
      </c>
      <c r="I18" s="97">
        <v>17</v>
      </c>
      <c r="J18" s="98" t="s">
        <v>2593</v>
      </c>
    </row>
    <row r="19" spans="1:10" x14ac:dyDescent="0.25">
      <c r="A19" s="19" t="s">
        <v>418</v>
      </c>
      <c r="B19" s="20">
        <v>0</v>
      </c>
      <c r="C19" s="20" t="s">
        <v>489</v>
      </c>
      <c r="D19" s="20"/>
      <c r="E19" s="20">
        <v>1</v>
      </c>
      <c r="F19" s="20"/>
      <c r="G19" s="20" t="str">
        <f>VLOOKUP(E19,geoINDEX50!$A:$C,3,FALSE)</f>
        <v>#F5F5F5</v>
      </c>
      <c r="H19" s="70" t="s">
        <v>2614</v>
      </c>
      <c r="I19" s="93">
        <v>1</v>
      </c>
      <c r="J19" s="94" t="s">
        <v>2594</v>
      </c>
    </row>
    <row r="20" spans="1:10" x14ac:dyDescent="0.25">
      <c r="A20" s="21" t="s">
        <v>418</v>
      </c>
      <c r="B20" s="2" t="s">
        <v>312</v>
      </c>
      <c r="C20" s="2" t="s">
        <v>1</v>
      </c>
      <c r="D20" s="2"/>
      <c r="E20" s="2">
        <v>1</v>
      </c>
      <c r="F20" s="2" t="s">
        <v>2299</v>
      </c>
      <c r="G20" s="2" t="str">
        <f>VLOOKUP(E20,geoINDEX50!$A:$C,3,FALSE)</f>
        <v>#F5F5F5</v>
      </c>
      <c r="H20" s="71" t="s">
        <v>2615</v>
      </c>
      <c r="I20" s="95">
        <v>2</v>
      </c>
      <c r="J20" s="96" t="s">
        <v>2594</v>
      </c>
    </row>
    <row r="21" spans="1:10" x14ac:dyDescent="0.25">
      <c r="A21" s="21" t="s">
        <v>418</v>
      </c>
      <c r="B21" s="2" t="s">
        <v>313</v>
      </c>
      <c r="C21" s="2" t="s">
        <v>28</v>
      </c>
      <c r="D21" s="2"/>
      <c r="E21" s="2">
        <v>243</v>
      </c>
      <c r="F21" s="2"/>
      <c r="G21" s="2" t="str">
        <f>VLOOKUP(E21,geoINDEX50!$A:$C,3,FALSE)</f>
        <v>#CACACC</v>
      </c>
      <c r="H21" s="71" t="s">
        <v>2616</v>
      </c>
      <c r="I21" s="95">
        <v>3</v>
      </c>
      <c r="J21" s="96" t="s">
        <v>2594</v>
      </c>
    </row>
    <row r="22" spans="1:10" x14ac:dyDescent="0.25">
      <c r="A22" s="21" t="s">
        <v>418</v>
      </c>
      <c r="B22" s="2" t="s">
        <v>315</v>
      </c>
      <c r="C22" s="2" t="s">
        <v>316</v>
      </c>
      <c r="D22" s="2"/>
      <c r="E22" s="2"/>
      <c r="F22" s="2"/>
      <c r="G22" s="2" t="s">
        <v>2307</v>
      </c>
      <c r="H22" s="71" t="s">
        <v>2617</v>
      </c>
      <c r="I22" s="95">
        <v>4</v>
      </c>
      <c r="J22" s="96" t="s">
        <v>2594</v>
      </c>
    </row>
    <row r="23" spans="1:10" x14ac:dyDescent="0.25">
      <c r="A23" s="21" t="s">
        <v>418</v>
      </c>
      <c r="B23" s="2" t="s">
        <v>317</v>
      </c>
      <c r="C23" s="2" t="s">
        <v>314</v>
      </c>
      <c r="D23" s="2"/>
      <c r="E23" s="2"/>
      <c r="F23" s="2"/>
      <c r="G23" s="2" t="s">
        <v>2300</v>
      </c>
      <c r="H23" s="71" t="s">
        <v>2618</v>
      </c>
      <c r="I23" s="95">
        <v>5</v>
      </c>
      <c r="J23" s="96" t="s">
        <v>2594</v>
      </c>
    </row>
    <row r="24" spans="1:10" x14ac:dyDescent="0.25">
      <c r="A24" s="21" t="s">
        <v>418</v>
      </c>
      <c r="B24" s="2" t="s">
        <v>319</v>
      </c>
      <c r="C24" s="2" t="s">
        <v>318</v>
      </c>
      <c r="D24" s="2"/>
      <c r="E24" s="2"/>
      <c r="F24" s="2"/>
      <c r="G24" s="2" t="s">
        <v>2307</v>
      </c>
      <c r="H24" s="71" t="s">
        <v>2619</v>
      </c>
      <c r="I24" s="95">
        <v>6</v>
      </c>
      <c r="J24" s="96" t="s">
        <v>2594</v>
      </c>
    </row>
    <row r="25" spans="1:10" ht="15" customHeight="1" x14ac:dyDescent="0.25">
      <c r="A25" s="22" t="s">
        <v>418</v>
      </c>
      <c r="B25" s="4">
        <v>1</v>
      </c>
      <c r="C25" s="4" t="s">
        <v>490</v>
      </c>
      <c r="D25" s="4"/>
      <c r="E25" s="4">
        <v>314</v>
      </c>
      <c r="F25" s="4"/>
      <c r="G25" s="4" t="str">
        <f>VLOOKUP(E25,geoINDEX50!$A:$C,3,FALSE)</f>
        <v>#C7EBFA</v>
      </c>
      <c r="H25" s="72" t="s">
        <v>2598</v>
      </c>
      <c r="I25" s="95">
        <v>7</v>
      </c>
      <c r="J25" s="96" t="s">
        <v>2594</v>
      </c>
    </row>
    <row r="26" spans="1:10" ht="15" customHeight="1" x14ac:dyDescent="0.25">
      <c r="A26" s="21" t="s">
        <v>418</v>
      </c>
      <c r="B26" s="2" t="s">
        <v>164</v>
      </c>
      <c r="C26" s="2" t="s">
        <v>165</v>
      </c>
      <c r="D26" s="2"/>
      <c r="E26" s="2">
        <v>23</v>
      </c>
      <c r="F26" s="2"/>
      <c r="G26" s="2" t="str">
        <f>VLOOKUP(E26,geoINDEX50!$A:$C,3,FALSE)</f>
        <v>#FDF8D7</v>
      </c>
      <c r="H26" s="71" t="s">
        <v>2620</v>
      </c>
      <c r="I26" s="95">
        <v>8</v>
      </c>
      <c r="J26" s="96" t="s">
        <v>2594</v>
      </c>
    </row>
    <row r="27" spans="1:10" ht="15" customHeight="1" x14ac:dyDescent="0.25">
      <c r="A27" s="21" t="s">
        <v>418</v>
      </c>
      <c r="B27" s="2" t="s">
        <v>162</v>
      </c>
      <c r="C27" s="2" t="s">
        <v>163</v>
      </c>
      <c r="D27" s="2"/>
      <c r="E27" s="2">
        <v>86</v>
      </c>
      <c r="F27" s="2"/>
      <c r="G27" s="2" t="str">
        <f>VLOOKUP(E27,geoINDEX50!$A:$C,3,FALSE)</f>
        <v>#66A384</v>
      </c>
      <c r="H27" s="71" t="s">
        <v>2621</v>
      </c>
      <c r="I27" s="95">
        <v>9</v>
      </c>
      <c r="J27" s="96" t="s">
        <v>2594</v>
      </c>
    </row>
    <row r="28" spans="1:10" ht="15" customHeight="1" x14ac:dyDescent="0.25">
      <c r="A28" s="21" t="s">
        <v>418</v>
      </c>
      <c r="B28" s="2" t="s">
        <v>160</v>
      </c>
      <c r="C28" s="2" t="s">
        <v>372</v>
      </c>
      <c r="D28" s="2"/>
      <c r="E28" s="2"/>
      <c r="F28" s="2"/>
      <c r="G28" s="2" t="s">
        <v>2308</v>
      </c>
      <c r="H28" s="71" t="s">
        <v>2622</v>
      </c>
      <c r="I28" s="95">
        <v>10</v>
      </c>
      <c r="J28" s="96" t="s">
        <v>2594</v>
      </c>
    </row>
    <row r="29" spans="1:10" ht="15" customHeight="1" x14ac:dyDescent="0.25">
      <c r="A29" s="21" t="s">
        <v>418</v>
      </c>
      <c r="B29" s="2" t="s">
        <v>204</v>
      </c>
      <c r="C29" s="2" t="s">
        <v>373</v>
      </c>
      <c r="D29" s="2"/>
      <c r="E29" s="2"/>
      <c r="F29" s="2"/>
      <c r="G29" s="2" t="s">
        <v>2309</v>
      </c>
      <c r="H29" s="71" t="s">
        <v>2623</v>
      </c>
      <c r="I29" s="95">
        <v>11</v>
      </c>
      <c r="J29" s="96" t="s">
        <v>2594</v>
      </c>
    </row>
    <row r="30" spans="1:10" ht="15" customHeight="1" x14ac:dyDescent="0.25">
      <c r="A30" s="21" t="s">
        <v>418</v>
      </c>
      <c r="B30" s="2" t="s">
        <v>375</v>
      </c>
      <c r="C30" s="2" t="s">
        <v>161</v>
      </c>
      <c r="D30" s="2"/>
      <c r="E30" s="2">
        <v>276</v>
      </c>
      <c r="F30" s="2"/>
      <c r="G30" s="2" t="str">
        <f>VLOOKUP(E30,geoINDEX50!$A:$C,3,FALSE)</f>
        <v>#F3CEA0</v>
      </c>
      <c r="H30" s="71" t="s">
        <v>2624</v>
      </c>
      <c r="I30" s="95">
        <v>12</v>
      </c>
      <c r="J30" s="96" t="s">
        <v>2594</v>
      </c>
    </row>
    <row r="31" spans="1:10" x14ac:dyDescent="0.25">
      <c r="A31" s="21" t="s">
        <v>418</v>
      </c>
      <c r="B31" s="2" t="s">
        <v>205</v>
      </c>
      <c r="C31" s="2" t="s">
        <v>374</v>
      </c>
      <c r="D31" s="2"/>
      <c r="E31" s="2"/>
      <c r="F31" s="2"/>
      <c r="G31" s="2" t="s">
        <v>2310</v>
      </c>
      <c r="H31" s="71" t="s">
        <v>2625</v>
      </c>
      <c r="I31" s="95">
        <v>13</v>
      </c>
      <c r="J31" s="96" t="s">
        <v>2594</v>
      </c>
    </row>
    <row r="32" spans="1:10" x14ac:dyDescent="0.25">
      <c r="A32" s="21" t="s">
        <v>418</v>
      </c>
      <c r="B32" s="2" t="s">
        <v>376</v>
      </c>
      <c r="C32" s="2" t="s">
        <v>105</v>
      </c>
      <c r="D32" s="2"/>
      <c r="E32" s="2">
        <v>271</v>
      </c>
      <c r="F32" s="2"/>
      <c r="G32" s="2" t="str">
        <f>VLOOKUP(E32,geoINDEX50!$A:$C,3,FALSE)</f>
        <v>#8DFFAB</v>
      </c>
      <c r="H32" s="71" t="s">
        <v>2626</v>
      </c>
      <c r="I32" s="95">
        <v>14</v>
      </c>
      <c r="J32" s="96" t="s">
        <v>2594</v>
      </c>
    </row>
    <row r="33" spans="1:10" x14ac:dyDescent="0.25">
      <c r="A33" s="21" t="s">
        <v>418</v>
      </c>
      <c r="B33" s="2" t="s">
        <v>383</v>
      </c>
      <c r="C33" s="2" t="s">
        <v>378</v>
      </c>
      <c r="D33" s="2"/>
      <c r="E33" s="2"/>
      <c r="F33" s="2"/>
      <c r="G33" s="2" t="s">
        <v>2312</v>
      </c>
      <c r="H33" s="71" t="s">
        <v>2627</v>
      </c>
      <c r="I33" s="95">
        <v>15</v>
      </c>
      <c r="J33" s="96" t="s">
        <v>2594</v>
      </c>
    </row>
    <row r="34" spans="1:10" x14ac:dyDescent="0.25">
      <c r="A34" s="21" t="s">
        <v>418</v>
      </c>
      <c r="B34" s="2" t="s">
        <v>384</v>
      </c>
      <c r="C34" s="2" t="s">
        <v>377</v>
      </c>
      <c r="D34" s="2"/>
      <c r="E34" s="2"/>
      <c r="F34" s="2"/>
      <c r="G34" s="2" t="s">
        <v>2311</v>
      </c>
      <c r="H34" s="71" t="s">
        <v>2628</v>
      </c>
      <c r="I34" s="95">
        <v>16</v>
      </c>
      <c r="J34" s="96" t="s">
        <v>2594</v>
      </c>
    </row>
    <row r="35" spans="1:10" x14ac:dyDescent="0.25">
      <c r="A35" s="21" t="s">
        <v>418</v>
      </c>
      <c r="B35" s="2" t="s">
        <v>385</v>
      </c>
      <c r="C35" s="2" t="s">
        <v>379</v>
      </c>
      <c r="D35" s="2"/>
      <c r="E35" s="2"/>
      <c r="F35" s="2"/>
      <c r="G35" s="2" t="s">
        <v>2312</v>
      </c>
      <c r="H35" s="71" t="s">
        <v>2629</v>
      </c>
      <c r="I35" s="95">
        <v>17</v>
      </c>
      <c r="J35" s="96" t="s">
        <v>2594</v>
      </c>
    </row>
    <row r="36" spans="1:10" x14ac:dyDescent="0.25">
      <c r="A36" s="21" t="s">
        <v>418</v>
      </c>
      <c r="B36" s="2" t="s">
        <v>386</v>
      </c>
      <c r="C36" s="2" t="s">
        <v>380</v>
      </c>
      <c r="D36" s="2"/>
      <c r="E36" s="2"/>
      <c r="F36" s="2"/>
      <c r="G36" s="2" t="s">
        <v>2311</v>
      </c>
      <c r="H36" s="71" t="s">
        <v>2630</v>
      </c>
      <c r="I36" s="95">
        <v>18</v>
      </c>
      <c r="J36" s="96" t="s">
        <v>2594</v>
      </c>
    </row>
    <row r="37" spans="1:10" x14ac:dyDescent="0.25">
      <c r="A37" s="21" t="s">
        <v>418</v>
      </c>
      <c r="B37" s="2" t="s">
        <v>387</v>
      </c>
      <c r="C37" s="2" t="s">
        <v>381</v>
      </c>
      <c r="D37" s="2"/>
      <c r="E37" s="2"/>
      <c r="F37" s="2"/>
      <c r="G37" s="2" t="s">
        <v>2312</v>
      </c>
      <c r="H37" s="71" t="s">
        <v>2631</v>
      </c>
      <c r="I37" s="95">
        <v>19</v>
      </c>
      <c r="J37" s="96" t="s">
        <v>2594</v>
      </c>
    </row>
    <row r="38" spans="1:10" x14ac:dyDescent="0.25">
      <c r="A38" s="21" t="s">
        <v>418</v>
      </c>
      <c r="B38" s="2" t="s">
        <v>388</v>
      </c>
      <c r="C38" s="2" t="s">
        <v>382</v>
      </c>
      <c r="D38" s="2"/>
      <c r="E38" s="2"/>
      <c r="F38" s="2"/>
      <c r="G38" s="2" t="s">
        <v>2311</v>
      </c>
      <c r="H38" s="71" t="s">
        <v>2632</v>
      </c>
      <c r="I38" s="95">
        <v>20</v>
      </c>
      <c r="J38" s="96" t="s">
        <v>2594</v>
      </c>
    </row>
    <row r="39" spans="1:10" x14ac:dyDescent="0.25">
      <c r="A39" s="21" t="s">
        <v>418</v>
      </c>
      <c r="B39" s="2" t="s">
        <v>2294</v>
      </c>
      <c r="C39" s="2" t="s">
        <v>390</v>
      </c>
      <c r="D39" s="2"/>
      <c r="E39" s="2"/>
      <c r="F39" s="2"/>
      <c r="G39" s="2" t="s">
        <v>2312</v>
      </c>
      <c r="H39" s="71" t="s">
        <v>2633</v>
      </c>
      <c r="I39" s="95">
        <v>21</v>
      </c>
      <c r="J39" s="96" t="s">
        <v>2594</v>
      </c>
    </row>
    <row r="40" spans="1:10" x14ac:dyDescent="0.25">
      <c r="A40" s="21" t="s">
        <v>418</v>
      </c>
      <c r="B40" s="2" t="s">
        <v>2295</v>
      </c>
      <c r="C40" s="2" t="s">
        <v>391</v>
      </c>
      <c r="D40" s="2"/>
      <c r="E40" s="2"/>
      <c r="F40" s="2"/>
      <c r="G40" s="2" t="s">
        <v>2311</v>
      </c>
      <c r="H40" s="71" t="s">
        <v>2634</v>
      </c>
      <c r="I40" s="95">
        <v>22</v>
      </c>
      <c r="J40" s="96" t="s">
        <v>2594</v>
      </c>
    </row>
    <row r="41" spans="1:10" x14ac:dyDescent="0.25">
      <c r="A41" s="21" t="s">
        <v>418</v>
      </c>
      <c r="B41" s="2" t="s">
        <v>389</v>
      </c>
      <c r="C41" s="2" t="s">
        <v>103</v>
      </c>
      <c r="D41" s="2"/>
      <c r="E41" s="2">
        <v>169</v>
      </c>
      <c r="F41" s="2"/>
      <c r="G41" s="2" t="str">
        <f>VLOOKUP(E41,geoINDEX50!$A:$C,3,FALSE)</f>
        <v>#FFF300</v>
      </c>
      <c r="H41" s="71" t="s">
        <v>2635</v>
      </c>
      <c r="I41" s="95">
        <v>23</v>
      </c>
      <c r="J41" s="96" t="s">
        <v>2594</v>
      </c>
    </row>
    <row r="42" spans="1:10" x14ac:dyDescent="0.25">
      <c r="A42" s="21" t="s">
        <v>418</v>
      </c>
      <c r="B42" s="2" t="s">
        <v>412</v>
      </c>
      <c r="C42" s="2" t="s">
        <v>411</v>
      </c>
      <c r="D42" s="2"/>
      <c r="E42" s="2"/>
      <c r="F42" s="2"/>
      <c r="G42" s="2" t="s">
        <v>2311</v>
      </c>
      <c r="H42" s="71" t="s">
        <v>2636</v>
      </c>
      <c r="I42" s="95">
        <v>24</v>
      </c>
      <c r="J42" s="96" t="s">
        <v>2594</v>
      </c>
    </row>
    <row r="43" spans="1:10" x14ac:dyDescent="0.25">
      <c r="A43" s="21" t="s">
        <v>418</v>
      </c>
      <c r="B43" s="2" t="s">
        <v>158</v>
      </c>
      <c r="C43" s="2" t="s">
        <v>159</v>
      </c>
      <c r="D43" s="2"/>
      <c r="E43" s="2">
        <v>28</v>
      </c>
      <c r="F43" s="2"/>
      <c r="G43" s="2" t="str">
        <f>VLOOKUP(E43,geoINDEX50!$A:$C,3,FALSE)</f>
        <v>#E1D7EB</v>
      </c>
      <c r="H43" s="71" t="s">
        <v>2637</v>
      </c>
      <c r="I43" s="95">
        <v>25</v>
      </c>
      <c r="J43" s="96" t="s">
        <v>2594</v>
      </c>
    </row>
    <row r="44" spans="1:10" x14ac:dyDescent="0.25">
      <c r="A44" s="21" t="s">
        <v>418</v>
      </c>
      <c r="B44" s="2" t="s">
        <v>156</v>
      </c>
      <c r="C44" s="2" t="s">
        <v>157</v>
      </c>
      <c r="D44" s="2"/>
      <c r="E44" s="2">
        <v>201</v>
      </c>
      <c r="F44" s="2"/>
      <c r="G44" s="2" t="str">
        <f>VLOOKUP(E44,geoINDEX50!$A:$C,3,FALSE)</f>
        <v>#E9E3DC</v>
      </c>
      <c r="H44" s="71" t="s">
        <v>2638</v>
      </c>
      <c r="I44" s="95">
        <v>26</v>
      </c>
      <c r="J44" s="96" t="s">
        <v>2594</v>
      </c>
    </row>
    <row r="45" spans="1:10" x14ac:dyDescent="0.25">
      <c r="A45" s="21" t="s">
        <v>418</v>
      </c>
      <c r="B45" s="2" t="s">
        <v>331</v>
      </c>
      <c r="C45" s="2" t="s">
        <v>27</v>
      </c>
      <c r="D45" s="2"/>
      <c r="E45" s="2">
        <v>252</v>
      </c>
      <c r="F45" s="2"/>
      <c r="G45" s="2" t="str">
        <f>VLOOKUP(E45,geoINDEX50!$A:$C,3,FALSE)</f>
        <v>#FF5F17</v>
      </c>
      <c r="H45" s="71" t="s">
        <v>2639</v>
      </c>
      <c r="I45" s="95">
        <v>27</v>
      </c>
      <c r="J45" s="96" t="s">
        <v>2594</v>
      </c>
    </row>
    <row r="46" spans="1:10" x14ac:dyDescent="0.25">
      <c r="A46" s="21" t="s">
        <v>418</v>
      </c>
      <c r="B46" s="2" t="s">
        <v>332</v>
      </c>
      <c r="C46" s="2" t="s">
        <v>26</v>
      </c>
      <c r="D46" s="2"/>
      <c r="E46" s="2">
        <v>339</v>
      </c>
      <c r="F46" s="2"/>
      <c r="G46" s="2" t="str">
        <f>VLOOKUP(E46,geoINDEX50!$A:$C,3,FALSE)</f>
        <v>#F3645C</v>
      </c>
      <c r="H46" s="71" t="s">
        <v>2640</v>
      </c>
      <c r="I46" s="95">
        <v>28</v>
      </c>
      <c r="J46" s="96" t="s">
        <v>2594</v>
      </c>
    </row>
    <row r="47" spans="1:10" x14ac:dyDescent="0.25">
      <c r="A47" s="21" t="s">
        <v>418</v>
      </c>
      <c r="B47" s="2" t="s">
        <v>333</v>
      </c>
      <c r="C47" s="2" t="s">
        <v>13</v>
      </c>
      <c r="D47" s="2"/>
      <c r="E47" s="2">
        <v>314</v>
      </c>
      <c r="F47" s="2" t="s">
        <v>2299</v>
      </c>
      <c r="G47" s="2" t="str">
        <f>VLOOKUP(E47,geoINDEX50!$A:$C,3,FALSE)</f>
        <v>#C7EBFA</v>
      </c>
      <c r="H47" s="71" t="s">
        <v>2641</v>
      </c>
      <c r="I47" s="95">
        <v>29</v>
      </c>
      <c r="J47" s="96" t="s">
        <v>2594</v>
      </c>
    </row>
    <row r="48" spans="1:10" x14ac:dyDescent="0.25">
      <c r="A48" s="21" t="s">
        <v>418</v>
      </c>
      <c r="B48" s="2" t="s">
        <v>334</v>
      </c>
      <c r="C48" s="2" t="s">
        <v>12</v>
      </c>
      <c r="D48" s="2"/>
      <c r="E48" s="2">
        <v>223</v>
      </c>
      <c r="F48" s="2"/>
      <c r="G48" s="2" t="str">
        <f>VLOOKUP(E48,geoINDEX50!$A:$C,3,FALSE)</f>
        <v>#E9E1D7</v>
      </c>
      <c r="H48" s="71" t="s">
        <v>2642</v>
      </c>
      <c r="I48" s="95">
        <v>30</v>
      </c>
      <c r="J48" s="96" t="s">
        <v>2594</v>
      </c>
    </row>
    <row r="49" spans="1:10" x14ac:dyDescent="0.25">
      <c r="A49" s="21" t="s">
        <v>418</v>
      </c>
      <c r="B49" s="6" t="s">
        <v>9</v>
      </c>
      <c r="C49" s="6" t="s">
        <v>9</v>
      </c>
      <c r="D49" s="6" t="s">
        <v>340</v>
      </c>
      <c r="E49" s="6">
        <v>196</v>
      </c>
      <c r="F49" s="6" t="s">
        <v>2298</v>
      </c>
      <c r="G49" s="6" t="str">
        <f>VLOOKUP(E49,geoINDEX50!$A:$C,3,FALSE)</f>
        <v>#E64097</v>
      </c>
      <c r="H49" s="71" t="s">
        <v>2643</v>
      </c>
      <c r="I49" s="95">
        <v>31</v>
      </c>
      <c r="J49" s="96" t="s">
        <v>2594</v>
      </c>
    </row>
    <row r="50" spans="1:10" x14ac:dyDescent="0.25">
      <c r="A50" s="22" t="s">
        <v>418</v>
      </c>
      <c r="B50" s="4">
        <v>2</v>
      </c>
      <c r="C50" s="4" t="s">
        <v>491</v>
      </c>
      <c r="D50" s="4"/>
      <c r="E50" s="4">
        <v>62</v>
      </c>
      <c r="F50" s="4" t="s">
        <v>2298</v>
      </c>
      <c r="G50" s="4" t="str">
        <f>VLOOKUP(E50,geoINDEX50!$A:$C,3,FALSE)</f>
        <v>#F3CC00</v>
      </c>
      <c r="H50" s="72" t="s">
        <v>2599</v>
      </c>
      <c r="I50" s="95">
        <v>32</v>
      </c>
      <c r="J50" s="96" t="s">
        <v>2594</v>
      </c>
    </row>
    <row r="51" spans="1:10" x14ac:dyDescent="0.25">
      <c r="A51" s="21" t="s">
        <v>418</v>
      </c>
      <c r="B51" s="2" t="s">
        <v>149</v>
      </c>
      <c r="C51" s="2" t="s">
        <v>154</v>
      </c>
      <c r="D51" s="2"/>
      <c r="E51" s="2">
        <v>264</v>
      </c>
      <c r="F51" s="2"/>
      <c r="G51" s="2" t="str">
        <f>VLOOKUP(E51,geoINDEX50!$A:$C,3,FALSE)</f>
        <v>#F2FF94</v>
      </c>
      <c r="H51" s="71" t="s">
        <v>2644</v>
      </c>
      <c r="I51" s="95">
        <v>33</v>
      </c>
      <c r="J51" s="96" t="s">
        <v>2594</v>
      </c>
    </row>
    <row r="52" spans="1:10" x14ac:dyDescent="0.25">
      <c r="A52" s="21" t="s">
        <v>418</v>
      </c>
      <c r="B52" s="2" t="s">
        <v>168</v>
      </c>
      <c r="C52" s="2" t="s">
        <v>94</v>
      </c>
      <c r="D52" s="2"/>
      <c r="E52" s="2">
        <v>62</v>
      </c>
      <c r="F52" s="2" t="s">
        <v>2299</v>
      </c>
      <c r="G52" s="2" t="str">
        <f>VLOOKUP(E52,geoINDEX50!$A:$C,3,FALSE)</f>
        <v>#F3CC00</v>
      </c>
      <c r="H52" s="71" t="s">
        <v>2645</v>
      </c>
      <c r="I52" s="95">
        <v>34</v>
      </c>
      <c r="J52" s="96" t="s">
        <v>2594</v>
      </c>
    </row>
    <row r="53" spans="1:10" s="10" customFormat="1" x14ac:dyDescent="0.25">
      <c r="A53" s="21" t="s">
        <v>418</v>
      </c>
      <c r="B53" s="7" t="s">
        <v>169</v>
      </c>
      <c r="C53" s="7" t="s">
        <v>6</v>
      </c>
      <c r="D53" s="7"/>
      <c r="E53" s="7">
        <v>109</v>
      </c>
      <c r="F53" s="7" t="s">
        <v>2299</v>
      </c>
      <c r="G53" s="7" t="str">
        <f>VLOOKUP(E53,geoINDEX50!$A:$C,3,FALSE)</f>
        <v>#A500A5</v>
      </c>
      <c r="H53" s="74" t="s">
        <v>2646</v>
      </c>
      <c r="I53" s="95">
        <v>35</v>
      </c>
      <c r="J53" s="96" t="s">
        <v>2594</v>
      </c>
    </row>
    <row r="54" spans="1:10" s="11" customFormat="1" x14ac:dyDescent="0.25">
      <c r="A54" s="21" t="s">
        <v>418</v>
      </c>
      <c r="B54" s="6" t="s">
        <v>366</v>
      </c>
      <c r="C54" s="6" t="s">
        <v>39</v>
      </c>
      <c r="D54" s="6" t="s">
        <v>340</v>
      </c>
      <c r="E54" s="6">
        <v>62</v>
      </c>
      <c r="F54" s="6" t="s">
        <v>2299</v>
      </c>
      <c r="G54" s="6" t="str">
        <f>VLOOKUP(E54,geoINDEX50!$A:$C,3,FALSE)</f>
        <v>#F3CC00</v>
      </c>
      <c r="H54" s="73" t="s">
        <v>2647</v>
      </c>
      <c r="I54" s="95">
        <v>36</v>
      </c>
      <c r="J54" s="96" t="s">
        <v>2594</v>
      </c>
    </row>
    <row r="55" spans="1:10" x14ac:dyDescent="0.25">
      <c r="A55" s="21" t="s">
        <v>418</v>
      </c>
      <c r="B55" s="2" t="s">
        <v>147</v>
      </c>
      <c r="C55" s="2" t="s">
        <v>152</v>
      </c>
      <c r="D55" s="2"/>
      <c r="E55" s="2">
        <v>62</v>
      </c>
      <c r="F55" s="2" t="s">
        <v>2299</v>
      </c>
      <c r="G55" s="2" t="str">
        <f>VLOOKUP(E55,geoINDEX50!$A:$C,3,FALSE)</f>
        <v>#F3CC00</v>
      </c>
      <c r="H55" s="71" t="s">
        <v>2648</v>
      </c>
      <c r="I55" s="95">
        <v>37</v>
      </c>
      <c r="J55" s="96" t="s">
        <v>2594</v>
      </c>
    </row>
    <row r="56" spans="1:10" x14ac:dyDescent="0.25">
      <c r="A56" s="21" t="s">
        <v>418</v>
      </c>
      <c r="B56" s="2" t="s">
        <v>206</v>
      </c>
      <c r="C56" s="2" t="s">
        <v>150</v>
      </c>
      <c r="D56" s="2"/>
      <c r="E56" s="2">
        <v>10</v>
      </c>
      <c r="F56" s="2"/>
      <c r="G56" s="2" t="str">
        <f>VLOOKUP(E56,geoINDEX50!$A:$C,3,FALSE)</f>
        <v>#E9D766</v>
      </c>
      <c r="H56" s="71" t="s">
        <v>2649</v>
      </c>
      <c r="I56" s="95">
        <v>38</v>
      </c>
      <c r="J56" s="96" t="s">
        <v>2594</v>
      </c>
    </row>
    <row r="57" spans="1:10" x14ac:dyDescent="0.25">
      <c r="A57" s="21" t="s">
        <v>418</v>
      </c>
      <c r="B57" s="2" t="s">
        <v>207</v>
      </c>
      <c r="C57" s="2" t="s">
        <v>37</v>
      </c>
      <c r="D57" s="2"/>
      <c r="E57" s="2">
        <v>232</v>
      </c>
      <c r="F57" s="2" t="s">
        <v>2298</v>
      </c>
      <c r="G57" s="2" t="str">
        <f>VLOOKUP(E57,geoINDEX50!$A:$C,3,FALSE)</f>
        <v>#0E3BA0</v>
      </c>
      <c r="H57" s="71" t="s">
        <v>2650</v>
      </c>
      <c r="I57" s="95">
        <v>39</v>
      </c>
      <c r="J57" s="96" t="s">
        <v>2594</v>
      </c>
    </row>
    <row r="58" spans="1:10" x14ac:dyDescent="0.25">
      <c r="A58" s="21" t="s">
        <v>418</v>
      </c>
      <c r="B58" s="2" t="s">
        <v>209</v>
      </c>
      <c r="C58" s="2" t="s">
        <v>208</v>
      </c>
      <c r="D58" s="2"/>
      <c r="E58" s="2">
        <v>62</v>
      </c>
      <c r="F58" s="2" t="s">
        <v>2299</v>
      </c>
      <c r="G58" s="2" t="str">
        <f>VLOOKUP(E58,geoINDEX50!$A:$C,3,FALSE)</f>
        <v>#F3CC00</v>
      </c>
      <c r="H58" s="71" t="s">
        <v>2651</v>
      </c>
      <c r="I58" s="95">
        <v>40</v>
      </c>
      <c r="J58" s="96" t="s">
        <v>2594</v>
      </c>
    </row>
    <row r="59" spans="1:10" x14ac:dyDescent="0.25">
      <c r="A59" s="21" t="s">
        <v>418</v>
      </c>
      <c r="B59" s="2" t="s">
        <v>145</v>
      </c>
      <c r="C59" s="2" t="s">
        <v>166</v>
      </c>
      <c r="D59" s="2"/>
      <c r="E59" s="2">
        <v>62</v>
      </c>
      <c r="F59" s="2" t="s">
        <v>2299</v>
      </c>
      <c r="G59" s="2" t="str">
        <f>VLOOKUP(E59,geoINDEX50!$A:$C,3,FALSE)</f>
        <v>#F3CC00</v>
      </c>
      <c r="H59" s="71" t="s">
        <v>2652</v>
      </c>
      <c r="I59" s="95">
        <v>41</v>
      </c>
      <c r="J59" s="96" t="s">
        <v>2594</v>
      </c>
    </row>
    <row r="60" spans="1:10" x14ac:dyDescent="0.25">
      <c r="A60" s="21" t="s">
        <v>418</v>
      </c>
      <c r="B60" s="2" t="s">
        <v>143</v>
      </c>
      <c r="C60" s="2" t="s">
        <v>91</v>
      </c>
      <c r="D60" s="2"/>
      <c r="E60" s="2">
        <v>62</v>
      </c>
      <c r="F60" s="2" t="s">
        <v>2299</v>
      </c>
      <c r="G60" s="2" t="str">
        <f>VLOOKUP(E60,geoINDEX50!$A:$C,3,FALSE)</f>
        <v>#F3CC00</v>
      </c>
      <c r="H60" s="71" t="s">
        <v>2653</v>
      </c>
      <c r="I60" s="95">
        <v>42</v>
      </c>
      <c r="J60" s="96" t="s">
        <v>2594</v>
      </c>
    </row>
    <row r="61" spans="1:10" x14ac:dyDescent="0.25">
      <c r="A61" s="21" t="s">
        <v>418</v>
      </c>
      <c r="B61" s="2" t="s">
        <v>210</v>
      </c>
      <c r="C61" s="2" t="s">
        <v>148</v>
      </c>
      <c r="D61" s="2"/>
      <c r="E61" s="2">
        <v>12</v>
      </c>
      <c r="F61" s="2"/>
      <c r="G61" s="2" t="str">
        <f>VLOOKUP(E61,geoINDEX50!$A:$C,3,FALSE)</f>
        <v>#FFFF00</v>
      </c>
      <c r="H61" s="71" t="s">
        <v>2654</v>
      </c>
      <c r="I61" s="95">
        <v>43</v>
      </c>
      <c r="J61" s="96" t="s">
        <v>2594</v>
      </c>
    </row>
    <row r="62" spans="1:10" s="10" customFormat="1" x14ac:dyDescent="0.25">
      <c r="A62" s="21" t="s">
        <v>418</v>
      </c>
      <c r="B62" s="7" t="s">
        <v>393</v>
      </c>
      <c r="C62" s="7" t="s">
        <v>38</v>
      </c>
      <c r="D62" s="7"/>
      <c r="E62" s="7">
        <v>109</v>
      </c>
      <c r="F62" s="7" t="s">
        <v>2299</v>
      </c>
      <c r="G62" s="7" t="str">
        <f>VLOOKUP(E62,geoINDEX50!$A:$C,3,FALSE)</f>
        <v>#A500A5</v>
      </c>
      <c r="H62" s="74" t="s">
        <v>2655</v>
      </c>
      <c r="I62" s="95">
        <v>44</v>
      </c>
      <c r="J62" s="96" t="s">
        <v>2594</v>
      </c>
    </row>
    <row r="63" spans="1:10" x14ac:dyDescent="0.25">
      <c r="A63" s="21" t="s">
        <v>418</v>
      </c>
      <c r="B63" s="2" t="s">
        <v>212</v>
      </c>
      <c r="C63" s="2" t="s">
        <v>211</v>
      </c>
      <c r="D63" s="2"/>
      <c r="E63" s="2"/>
      <c r="F63" s="2"/>
      <c r="G63" s="2" t="s">
        <v>2313</v>
      </c>
      <c r="H63" s="71" t="s">
        <v>2656</v>
      </c>
      <c r="I63" s="95">
        <v>45</v>
      </c>
      <c r="J63" s="96" t="s">
        <v>2594</v>
      </c>
    </row>
    <row r="64" spans="1:10" x14ac:dyDescent="0.25">
      <c r="A64" s="21" t="s">
        <v>418</v>
      </c>
      <c r="B64" s="2" t="s">
        <v>213</v>
      </c>
      <c r="C64" s="2" t="s">
        <v>146</v>
      </c>
      <c r="D64" s="2"/>
      <c r="E64" s="2">
        <v>263</v>
      </c>
      <c r="F64" s="2"/>
      <c r="G64" s="2" t="str">
        <f>VLOOKUP(E64,geoINDEX50!$A:$C,3,FALSE)</f>
        <v>#A2FCC4</v>
      </c>
      <c r="H64" s="71" t="s">
        <v>2657</v>
      </c>
      <c r="I64" s="95">
        <v>46</v>
      </c>
      <c r="J64" s="96" t="s">
        <v>2594</v>
      </c>
    </row>
    <row r="65" spans="1:10" x14ac:dyDescent="0.25">
      <c r="A65" s="21" t="s">
        <v>418</v>
      </c>
      <c r="B65" s="2" t="s">
        <v>400</v>
      </c>
      <c r="C65" s="2" t="s">
        <v>144</v>
      </c>
      <c r="D65" s="2"/>
      <c r="E65" s="2">
        <v>63</v>
      </c>
      <c r="F65" s="2"/>
      <c r="G65" s="2" t="str">
        <f>VLOOKUP(E65,geoINDEX50!$A:$C,3,FALSE)</f>
        <v>#AB9F50</v>
      </c>
      <c r="H65" s="71" t="s">
        <v>2658</v>
      </c>
      <c r="I65" s="95">
        <v>47</v>
      </c>
      <c r="J65" s="96" t="s">
        <v>2594</v>
      </c>
    </row>
    <row r="66" spans="1:10" x14ac:dyDescent="0.25">
      <c r="A66" s="21" t="s">
        <v>418</v>
      </c>
      <c r="B66" s="2" t="s">
        <v>214</v>
      </c>
      <c r="C66" s="2" t="s">
        <v>88</v>
      </c>
      <c r="D66" s="2"/>
      <c r="E66" s="2">
        <v>62</v>
      </c>
      <c r="F66" s="2" t="s">
        <v>2299</v>
      </c>
      <c r="G66" s="2" t="str">
        <f>VLOOKUP(E66,geoINDEX50!$A:$C,3,FALSE)</f>
        <v>#F3CC00</v>
      </c>
      <c r="H66" s="71" t="s">
        <v>2659</v>
      </c>
      <c r="I66" s="95">
        <v>48</v>
      </c>
      <c r="J66" s="96" t="s">
        <v>2594</v>
      </c>
    </row>
    <row r="67" spans="1:10" x14ac:dyDescent="0.25">
      <c r="A67" s="21" t="s">
        <v>418</v>
      </c>
      <c r="B67" s="2" t="s">
        <v>141</v>
      </c>
      <c r="C67" s="2" t="s">
        <v>35</v>
      </c>
      <c r="D67" s="2"/>
      <c r="E67" s="2">
        <v>142</v>
      </c>
      <c r="F67" s="2"/>
      <c r="G67" s="2" t="str">
        <f>VLOOKUP(E67,geoINDEX50!$A:$C,3,FALSE)</f>
        <v>#EE3124</v>
      </c>
      <c r="H67" s="71" t="s">
        <v>2660</v>
      </c>
      <c r="I67" s="95">
        <v>49</v>
      </c>
      <c r="J67" s="96" t="s">
        <v>2594</v>
      </c>
    </row>
    <row r="68" spans="1:10" x14ac:dyDescent="0.25">
      <c r="A68" s="21" t="s">
        <v>418</v>
      </c>
      <c r="B68" s="2" t="s">
        <v>217</v>
      </c>
      <c r="C68" s="2" t="s">
        <v>8</v>
      </c>
      <c r="D68" s="6" t="s">
        <v>142</v>
      </c>
      <c r="E68" s="2">
        <v>162</v>
      </c>
      <c r="F68" s="2"/>
      <c r="G68" s="2" t="str">
        <f>VLOOKUP(E68,geoINDEX50!$A:$C,3,FALSE)</f>
        <v>#E9D9AB</v>
      </c>
      <c r="H68" s="71" t="s">
        <v>2661</v>
      </c>
      <c r="I68" s="95">
        <v>50</v>
      </c>
      <c r="J68" s="96" t="s">
        <v>2594</v>
      </c>
    </row>
    <row r="69" spans="1:10" x14ac:dyDescent="0.25">
      <c r="A69" s="21" t="s">
        <v>418</v>
      </c>
      <c r="B69" s="2" t="s">
        <v>218</v>
      </c>
      <c r="C69" s="2" t="s">
        <v>34</v>
      </c>
      <c r="D69" s="2"/>
      <c r="E69" s="2">
        <v>143</v>
      </c>
      <c r="F69" s="2"/>
      <c r="G69" s="2" t="str">
        <f>VLOOKUP(E69,geoINDEX50!$A:$C,3,FALSE)</f>
        <v>#F5F3CC</v>
      </c>
      <c r="H69" s="71" t="s">
        <v>2662</v>
      </c>
      <c r="I69" s="95">
        <v>51</v>
      </c>
      <c r="J69" s="96" t="s">
        <v>2594</v>
      </c>
    </row>
    <row r="70" spans="1:10" x14ac:dyDescent="0.25">
      <c r="A70" s="21" t="s">
        <v>418</v>
      </c>
      <c r="B70" s="2" t="s">
        <v>410</v>
      </c>
      <c r="C70" s="2" t="s">
        <v>409</v>
      </c>
      <c r="D70" s="2"/>
      <c r="E70" s="2"/>
      <c r="F70" s="2"/>
      <c r="G70" s="2" t="s">
        <v>2314</v>
      </c>
      <c r="H70" s="71" t="s">
        <v>2663</v>
      </c>
      <c r="I70" s="95">
        <v>52</v>
      </c>
      <c r="J70" s="96" t="s">
        <v>2594</v>
      </c>
    </row>
    <row r="71" spans="1:10" x14ac:dyDescent="0.25">
      <c r="A71" s="21" t="s">
        <v>418</v>
      </c>
      <c r="B71" s="2" t="s">
        <v>219</v>
      </c>
      <c r="C71" s="2" t="s">
        <v>215</v>
      </c>
      <c r="D71" s="2"/>
      <c r="E71" s="2"/>
      <c r="F71" s="2"/>
      <c r="G71" s="2" t="s">
        <v>2315</v>
      </c>
      <c r="H71" s="71" t="s">
        <v>2664</v>
      </c>
      <c r="I71" s="95">
        <v>53</v>
      </c>
      <c r="J71" s="96" t="s">
        <v>2594</v>
      </c>
    </row>
    <row r="72" spans="1:10" x14ac:dyDescent="0.25">
      <c r="A72" s="21" t="s">
        <v>418</v>
      </c>
      <c r="B72" s="2" t="s">
        <v>220</v>
      </c>
      <c r="C72" s="2" t="s">
        <v>1</v>
      </c>
      <c r="D72" s="2"/>
      <c r="E72" s="2">
        <v>1</v>
      </c>
      <c r="F72" s="2" t="s">
        <v>2299</v>
      </c>
      <c r="G72" s="2" t="str">
        <f>VLOOKUP(E72,geoINDEX50!$A:$C,3,FALSE)</f>
        <v>#F5F5F5</v>
      </c>
      <c r="H72" s="71" t="s">
        <v>2615</v>
      </c>
      <c r="I72" s="95">
        <v>54</v>
      </c>
      <c r="J72" s="96" t="s">
        <v>2594</v>
      </c>
    </row>
    <row r="73" spans="1:10" x14ac:dyDescent="0.25">
      <c r="A73" s="21" t="s">
        <v>418</v>
      </c>
      <c r="B73" s="2" t="s">
        <v>408</v>
      </c>
      <c r="C73" s="2" t="s">
        <v>407</v>
      </c>
      <c r="D73" s="2"/>
      <c r="E73" s="2"/>
      <c r="F73" s="2"/>
      <c r="G73" s="2" t="s">
        <v>2316</v>
      </c>
      <c r="H73" s="71" t="s">
        <v>2665</v>
      </c>
      <c r="I73" s="95">
        <v>55</v>
      </c>
      <c r="J73" s="96" t="s">
        <v>2594</v>
      </c>
    </row>
    <row r="74" spans="1:10" x14ac:dyDescent="0.25">
      <c r="A74" s="21" t="s">
        <v>418</v>
      </c>
      <c r="B74" s="2" t="s">
        <v>221</v>
      </c>
      <c r="C74" s="2" t="s">
        <v>7</v>
      </c>
      <c r="D74" s="2"/>
      <c r="E74" s="2">
        <v>146</v>
      </c>
      <c r="F74" s="2"/>
      <c r="G74" s="2" t="str">
        <f>VLOOKUP(E74,geoINDEX50!$A:$C,3,FALSE)</f>
        <v>#FFF300</v>
      </c>
      <c r="H74" s="71" t="s">
        <v>2666</v>
      </c>
      <c r="I74" s="95">
        <v>56</v>
      </c>
      <c r="J74" s="96" t="s">
        <v>2594</v>
      </c>
    </row>
    <row r="75" spans="1:10" x14ac:dyDescent="0.25">
      <c r="A75" s="21" t="s">
        <v>418</v>
      </c>
      <c r="B75" s="2" t="s">
        <v>222</v>
      </c>
      <c r="C75" s="2" t="s">
        <v>33</v>
      </c>
      <c r="D75" s="2"/>
      <c r="E75" s="2">
        <v>147</v>
      </c>
      <c r="F75" s="2"/>
      <c r="G75" s="2" t="str">
        <f>VLOOKUP(E75,geoINDEX50!$A:$C,3,FALSE)</f>
        <v>#4187B5</v>
      </c>
      <c r="H75" s="71" t="s">
        <v>2667</v>
      </c>
      <c r="I75" s="95">
        <v>57</v>
      </c>
      <c r="J75" s="96" t="s">
        <v>2594</v>
      </c>
    </row>
    <row r="76" spans="1:10" x14ac:dyDescent="0.25">
      <c r="A76" s="21" t="s">
        <v>418</v>
      </c>
      <c r="B76" s="2" t="s">
        <v>223</v>
      </c>
      <c r="C76" s="2" t="s">
        <v>216</v>
      </c>
      <c r="D76" s="2" t="s">
        <v>405</v>
      </c>
      <c r="E76" s="2"/>
      <c r="F76" s="2"/>
      <c r="G76" s="2" t="s">
        <v>2315</v>
      </c>
      <c r="H76" s="71" t="s">
        <v>2668</v>
      </c>
      <c r="I76" s="95">
        <v>58</v>
      </c>
      <c r="J76" s="96" t="s">
        <v>2594</v>
      </c>
    </row>
    <row r="77" spans="1:10" x14ac:dyDescent="0.25">
      <c r="A77" s="21" t="s">
        <v>418</v>
      </c>
      <c r="B77" s="2" t="s">
        <v>403</v>
      </c>
      <c r="C77" s="2" t="s">
        <v>401</v>
      </c>
      <c r="D77" s="2" t="s">
        <v>405</v>
      </c>
      <c r="E77" s="2"/>
      <c r="F77" s="2"/>
      <c r="G77" s="2" t="s">
        <v>2317</v>
      </c>
      <c r="H77" s="71" t="s">
        <v>2669</v>
      </c>
      <c r="I77" s="95">
        <v>59</v>
      </c>
      <c r="J77" s="96" t="s">
        <v>2594</v>
      </c>
    </row>
    <row r="78" spans="1:10" x14ac:dyDescent="0.25">
      <c r="A78" s="21" t="s">
        <v>418</v>
      </c>
      <c r="B78" s="2" t="s">
        <v>404</v>
      </c>
      <c r="C78" s="2" t="s">
        <v>402</v>
      </c>
      <c r="D78" s="2" t="s">
        <v>406</v>
      </c>
      <c r="E78" s="2"/>
      <c r="F78" s="2"/>
      <c r="G78" s="2" t="s">
        <v>2318</v>
      </c>
      <c r="H78" s="71" t="s">
        <v>2670</v>
      </c>
      <c r="I78" s="95">
        <v>60</v>
      </c>
      <c r="J78" s="96" t="s">
        <v>2594</v>
      </c>
    </row>
    <row r="79" spans="1:10" x14ac:dyDescent="0.25">
      <c r="A79" s="21" t="s">
        <v>418</v>
      </c>
      <c r="B79" s="2" t="s">
        <v>167</v>
      </c>
      <c r="C79" s="2" t="s">
        <v>392</v>
      </c>
      <c r="D79" s="2" t="s">
        <v>406</v>
      </c>
      <c r="E79" s="2"/>
      <c r="F79" s="2"/>
      <c r="G79" s="2" t="s">
        <v>2319</v>
      </c>
      <c r="H79" s="71" t="s">
        <v>2671</v>
      </c>
      <c r="I79" s="95">
        <v>61</v>
      </c>
      <c r="J79" s="96" t="s">
        <v>2594</v>
      </c>
    </row>
    <row r="80" spans="1:10" x14ac:dyDescent="0.25">
      <c r="A80" s="21" t="s">
        <v>418</v>
      </c>
      <c r="B80" s="2" t="s">
        <v>397</v>
      </c>
      <c r="C80" s="2" t="s">
        <v>394</v>
      </c>
      <c r="D80" s="2" t="s">
        <v>406</v>
      </c>
      <c r="E80" s="2"/>
      <c r="F80" s="2"/>
      <c r="G80" s="2" t="s">
        <v>2320</v>
      </c>
      <c r="H80" s="71" t="s">
        <v>2672</v>
      </c>
      <c r="I80" s="95">
        <v>62</v>
      </c>
      <c r="J80" s="96" t="s">
        <v>2594</v>
      </c>
    </row>
    <row r="81" spans="1:10" x14ac:dyDescent="0.25">
      <c r="A81" s="21" t="s">
        <v>418</v>
      </c>
      <c r="B81" s="2" t="s">
        <v>413</v>
      </c>
      <c r="C81" s="2" t="s">
        <v>411</v>
      </c>
      <c r="D81" s="2" t="s">
        <v>406</v>
      </c>
      <c r="E81" s="2"/>
      <c r="F81" s="2"/>
      <c r="G81" s="2" t="s">
        <v>2321</v>
      </c>
      <c r="H81" s="71" t="s">
        <v>2673</v>
      </c>
      <c r="I81" s="95">
        <v>63</v>
      </c>
      <c r="J81" s="96" t="s">
        <v>2594</v>
      </c>
    </row>
    <row r="82" spans="1:10" x14ac:dyDescent="0.25">
      <c r="A82" s="21" t="s">
        <v>418</v>
      </c>
      <c r="B82" s="2" t="s">
        <v>398</v>
      </c>
      <c r="C82" s="2" t="s">
        <v>395</v>
      </c>
      <c r="D82" s="2" t="s">
        <v>406</v>
      </c>
      <c r="E82" s="2"/>
      <c r="F82" s="2"/>
      <c r="G82" s="2" t="s">
        <v>2322</v>
      </c>
      <c r="H82" s="71" t="s">
        <v>2674</v>
      </c>
      <c r="I82" s="95">
        <v>64</v>
      </c>
      <c r="J82" s="96" t="s">
        <v>2594</v>
      </c>
    </row>
    <row r="83" spans="1:10" x14ac:dyDescent="0.25">
      <c r="A83" s="21" t="s">
        <v>418</v>
      </c>
      <c r="B83" s="2" t="s">
        <v>399</v>
      </c>
      <c r="C83" s="2" t="s">
        <v>396</v>
      </c>
      <c r="D83" s="2" t="s">
        <v>406</v>
      </c>
      <c r="E83" s="2"/>
      <c r="F83" s="2"/>
      <c r="G83" s="2" t="s">
        <v>2323</v>
      </c>
      <c r="H83" s="71" t="s">
        <v>2675</v>
      </c>
      <c r="I83" s="95">
        <v>65</v>
      </c>
      <c r="J83" s="96" t="s">
        <v>2594</v>
      </c>
    </row>
    <row r="84" spans="1:10" x14ac:dyDescent="0.25">
      <c r="A84" s="22" t="s">
        <v>418</v>
      </c>
      <c r="B84" s="4">
        <v>3</v>
      </c>
      <c r="C84" s="4" t="s">
        <v>140</v>
      </c>
      <c r="D84" s="4"/>
      <c r="E84" s="4">
        <v>6</v>
      </c>
      <c r="F84" s="4"/>
      <c r="G84" s="4" t="str">
        <f>VLOOKUP(E84,geoINDEX50!$A:$C,3,FALSE)</f>
        <v>#FFD27B</v>
      </c>
      <c r="H84" s="72" t="s">
        <v>2600</v>
      </c>
      <c r="I84" s="95">
        <v>66</v>
      </c>
      <c r="J84" s="96" t="s">
        <v>2594</v>
      </c>
    </row>
    <row r="85" spans="1:10" x14ac:dyDescent="0.25">
      <c r="A85" s="21" t="s">
        <v>418</v>
      </c>
      <c r="B85" s="2" t="s">
        <v>321</v>
      </c>
      <c r="C85" s="2" t="s">
        <v>320</v>
      </c>
      <c r="D85" s="2"/>
      <c r="E85" s="2"/>
      <c r="F85" s="2"/>
      <c r="G85" s="2" t="s">
        <v>2324</v>
      </c>
      <c r="H85" s="71" t="s">
        <v>2676</v>
      </c>
      <c r="I85" s="95">
        <v>67</v>
      </c>
      <c r="J85" s="96" t="s">
        <v>2594</v>
      </c>
    </row>
    <row r="86" spans="1:10" x14ac:dyDescent="0.25">
      <c r="A86" s="21" t="s">
        <v>418</v>
      </c>
      <c r="B86" s="2" t="s">
        <v>322</v>
      </c>
      <c r="C86" s="2" t="s">
        <v>47</v>
      </c>
      <c r="D86" s="2"/>
      <c r="E86" s="2">
        <v>65</v>
      </c>
      <c r="F86" s="2"/>
      <c r="G86" s="2" t="str">
        <f>VLOOKUP(E86,geoINDEX50!$A:$C,3,FALSE)</f>
        <v>#FFE38D</v>
      </c>
      <c r="H86" s="71" t="s">
        <v>2677</v>
      </c>
      <c r="I86" s="95">
        <v>68</v>
      </c>
      <c r="J86" s="96" t="s">
        <v>2594</v>
      </c>
    </row>
    <row r="87" spans="1:10" x14ac:dyDescent="0.25">
      <c r="A87" s="21" t="s">
        <v>418</v>
      </c>
      <c r="B87" s="2" t="s">
        <v>324</v>
      </c>
      <c r="C87" s="2" t="s">
        <v>323</v>
      </c>
      <c r="D87" s="2"/>
      <c r="E87" s="2"/>
      <c r="F87" s="2"/>
      <c r="G87" s="2" t="s">
        <v>2325</v>
      </c>
      <c r="H87" s="71" t="s">
        <v>2678</v>
      </c>
      <c r="I87" s="95">
        <v>69</v>
      </c>
      <c r="J87" s="96" t="s">
        <v>2594</v>
      </c>
    </row>
    <row r="88" spans="1:10" x14ac:dyDescent="0.25">
      <c r="A88" s="21" t="s">
        <v>418</v>
      </c>
      <c r="B88" s="2" t="s">
        <v>325</v>
      </c>
      <c r="C88" s="2" t="s">
        <v>45</v>
      </c>
      <c r="D88" s="2"/>
      <c r="E88" s="2">
        <v>75</v>
      </c>
      <c r="F88" s="2"/>
      <c r="G88" s="2" t="str">
        <f>VLOOKUP(E88,geoINDEX50!$A:$C,3,FALSE)</f>
        <v>#FFD478</v>
      </c>
      <c r="H88" s="71" t="s">
        <v>2679</v>
      </c>
      <c r="I88" s="95">
        <v>70</v>
      </c>
      <c r="J88" s="96" t="s">
        <v>2594</v>
      </c>
    </row>
    <row r="89" spans="1:10" x14ac:dyDescent="0.25">
      <c r="A89" s="21" t="s">
        <v>418</v>
      </c>
      <c r="B89" s="2" t="s">
        <v>326</v>
      </c>
      <c r="C89" s="2" t="s">
        <v>44</v>
      </c>
      <c r="D89" s="2"/>
      <c r="E89" s="2">
        <v>195</v>
      </c>
      <c r="F89" s="2"/>
      <c r="G89" s="2" t="str">
        <f>VLOOKUP(E89,geoINDEX50!$A:$C,3,FALSE)</f>
        <v>#FFE364</v>
      </c>
      <c r="H89" s="71" t="s">
        <v>2680</v>
      </c>
      <c r="I89" s="95">
        <v>71</v>
      </c>
      <c r="J89" s="96" t="s">
        <v>2594</v>
      </c>
    </row>
    <row r="90" spans="1:10" x14ac:dyDescent="0.25">
      <c r="A90" s="21" t="s">
        <v>418</v>
      </c>
      <c r="B90" s="2" t="s">
        <v>327</v>
      </c>
      <c r="C90" s="2" t="s">
        <v>75</v>
      </c>
      <c r="D90" s="2"/>
      <c r="E90" s="2">
        <v>64</v>
      </c>
      <c r="F90" s="2"/>
      <c r="G90" s="2" t="str">
        <f>VLOOKUP(E90,geoINDEX50!$A:$C,3,FALSE)</f>
        <v>#FFD250</v>
      </c>
      <c r="H90" s="71" t="s">
        <v>2681</v>
      </c>
      <c r="I90" s="95">
        <v>72</v>
      </c>
      <c r="J90" s="96" t="s">
        <v>2594</v>
      </c>
    </row>
    <row r="91" spans="1:10" x14ac:dyDescent="0.25">
      <c r="A91" s="21" t="s">
        <v>418</v>
      </c>
      <c r="B91" s="2" t="s">
        <v>328</v>
      </c>
      <c r="C91" s="2" t="s">
        <v>73</v>
      </c>
      <c r="D91" s="2"/>
      <c r="E91" s="2">
        <v>49</v>
      </c>
      <c r="F91" s="2"/>
      <c r="G91" s="2" t="str">
        <f>VLOOKUP(E91,geoINDEX50!$A:$C,3,FALSE)</f>
        <v>#FFE364</v>
      </c>
      <c r="H91" s="71" t="s">
        <v>2682</v>
      </c>
      <c r="I91" s="95">
        <v>73</v>
      </c>
      <c r="J91" s="96" t="s">
        <v>2594</v>
      </c>
    </row>
    <row r="92" spans="1:10" x14ac:dyDescent="0.25">
      <c r="A92" s="21" t="s">
        <v>418</v>
      </c>
      <c r="B92" s="2" t="s">
        <v>329</v>
      </c>
      <c r="C92" s="2" t="s">
        <v>139</v>
      </c>
      <c r="D92" s="2"/>
      <c r="E92" s="2">
        <v>151</v>
      </c>
      <c r="F92" s="2"/>
      <c r="G92" s="2" t="str">
        <f>VLOOKUP(E92,geoINDEX50!$A:$C,3,FALSE)</f>
        <v>#FAA450</v>
      </c>
      <c r="H92" s="71" t="s">
        <v>2683</v>
      </c>
      <c r="I92" s="95">
        <v>74</v>
      </c>
      <c r="J92" s="96" t="s">
        <v>2594</v>
      </c>
    </row>
    <row r="93" spans="1:10" x14ac:dyDescent="0.25">
      <c r="A93" s="21" t="s">
        <v>418</v>
      </c>
      <c r="B93" s="2" t="s">
        <v>330</v>
      </c>
      <c r="C93" s="2" t="s">
        <v>138</v>
      </c>
      <c r="D93" s="2"/>
      <c r="E93" s="2">
        <v>48</v>
      </c>
      <c r="F93" s="2"/>
      <c r="G93" s="2" t="str">
        <f>VLOOKUP(E93,geoINDEX50!$A:$C,3,FALSE)</f>
        <v>#FFD478</v>
      </c>
      <c r="H93" s="71" t="s">
        <v>2684</v>
      </c>
      <c r="I93" s="95">
        <v>75</v>
      </c>
      <c r="J93" s="96" t="s">
        <v>2594</v>
      </c>
    </row>
    <row r="94" spans="1:10" x14ac:dyDescent="0.25">
      <c r="A94" s="22" t="s">
        <v>418</v>
      </c>
      <c r="B94" s="4">
        <v>4</v>
      </c>
      <c r="C94" s="4" t="s">
        <v>136</v>
      </c>
      <c r="D94" s="4"/>
      <c r="E94" s="4">
        <v>50</v>
      </c>
      <c r="F94" s="4"/>
      <c r="G94" s="4" t="str">
        <f>VLOOKUP(E94,geoINDEX50!$A:$C,3,FALSE)</f>
        <v>#C2B600</v>
      </c>
      <c r="H94" s="72" t="s">
        <v>2601</v>
      </c>
      <c r="I94" s="95">
        <v>76</v>
      </c>
      <c r="J94" s="96" t="s">
        <v>2594</v>
      </c>
    </row>
    <row r="95" spans="1:10" x14ac:dyDescent="0.25">
      <c r="A95" s="21" t="s">
        <v>418</v>
      </c>
      <c r="B95" s="2" t="s">
        <v>301</v>
      </c>
      <c r="C95" s="2" t="s">
        <v>71</v>
      </c>
      <c r="D95" s="2"/>
      <c r="E95" s="2">
        <v>62</v>
      </c>
      <c r="F95" s="2"/>
      <c r="G95" s="2" t="str">
        <f>VLOOKUP(E95,geoINDEX50!$A:$C,3,FALSE)</f>
        <v>#F3CC00</v>
      </c>
      <c r="H95" s="71" t="s">
        <v>2685</v>
      </c>
      <c r="I95" s="95">
        <v>77</v>
      </c>
      <c r="J95" s="96" t="s">
        <v>2594</v>
      </c>
    </row>
    <row r="96" spans="1:10" x14ac:dyDescent="0.25">
      <c r="A96" s="21" t="s">
        <v>418</v>
      </c>
      <c r="B96" s="2" t="s">
        <v>302</v>
      </c>
      <c r="C96" s="2" t="s">
        <v>102</v>
      </c>
      <c r="D96" s="2"/>
      <c r="E96" s="2">
        <v>32</v>
      </c>
      <c r="F96" s="2"/>
      <c r="G96" s="2" t="str">
        <f>VLOOKUP(E96,geoINDEX50!$A:$C,3,FALSE)</f>
        <v>#EEEB66</v>
      </c>
      <c r="H96" s="71" t="s">
        <v>2686</v>
      </c>
      <c r="I96" s="95">
        <v>78</v>
      </c>
      <c r="J96" s="96" t="s">
        <v>2594</v>
      </c>
    </row>
    <row r="97" spans="1:10" x14ac:dyDescent="0.25">
      <c r="A97" s="21" t="s">
        <v>418</v>
      </c>
      <c r="B97" s="2" t="s">
        <v>303</v>
      </c>
      <c r="C97" s="2" t="s">
        <v>20</v>
      </c>
      <c r="D97" s="2"/>
      <c r="E97" s="2">
        <v>231</v>
      </c>
      <c r="F97" s="2"/>
      <c r="G97" s="2" t="str">
        <f>VLOOKUP(E97,geoINDEX50!$A:$C,3,FALSE)</f>
        <v>#D7E3D5</v>
      </c>
      <c r="H97" s="71" t="s">
        <v>2687</v>
      </c>
      <c r="I97" s="95">
        <v>79</v>
      </c>
      <c r="J97" s="96" t="s">
        <v>2594</v>
      </c>
    </row>
    <row r="98" spans="1:10" x14ac:dyDescent="0.25">
      <c r="A98" s="21" t="s">
        <v>418</v>
      </c>
      <c r="B98" s="2" t="s">
        <v>304</v>
      </c>
      <c r="C98" s="2" t="s">
        <v>100</v>
      </c>
      <c r="D98" s="2"/>
      <c r="E98" s="2">
        <v>26</v>
      </c>
      <c r="F98" s="2"/>
      <c r="G98" s="2" t="str">
        <f>VLOOKUP(E98,geoINDEX50!$A:$C,3,FALSE)</f>
        <v>#D9551F</v>
      </c>
      <c r="H98" s="71" t="s">
        <v>2688</v>
      </c>
      <c r="I98" s="95">
        <v>80</v>
      </c>
      <c r="J98" s="96" t="s">
        <v>2594</v>
      </c>
    </row>
    <row r="99" spans="1:10" x14ac:dyDescent="0.25">
      <c r="A99" s="21" t="s">
        <v>418</v>
      </c>
      <c r="B99" s="2" t="s">
        <v>305</v>
      </c>
      <c r="C99" s="2" t="s">
        <v>99</v>
      </c>
      <c r="D99" s="2"/>
      <c r="E99" s="2">
        <v>19</v>
      </c>
      <c r="F99" s="2"/>
      <c r="G99" s="2" t="str">
        <f>VLOOKUP(E99,geoINDEX50!$A:$C,3,FALSE)</f>
        <v>#C2B600</v>
      </c>
      <c r="H99" s="71" t="s">
        <v>2689</v>
      </c>
      <c r="I99" s="95">
        <v>81</v>
      </c>
      <c r="J99" s="96" t="s">
        <v>2594</v>
      </c>
    </row>
    <row r="100" spans="1:10" x14ac:dyDescent="0.25">
      <c r="A100" s="21" t="s">
        <v>418</v>
      </c>
      <c r="B100" s="2" t="s">
        <v>307</v>
      </c>
      <c r="C100" s="2" t="s">
        <v>306</v>
      </c>
      <c r="D100" s="2"/>
      <c r="E100" s="2"/>
      <c r="F100" s="2"/>
      <c r="G100" s="2" t="s">
        <v>2326</v>
      </c>
      <c r="H100" s="71" t="s">
        <v>2690</v>
      </c>
      <c r="I100" s="95">
        <v>82</v>
      </c>
      <c r="J100" s="96" t="s">
        <v>2594</v>
      </c>
    </row>
    <row r="101" spans="1:10" x14ac:dyDescent="0.25">
      <c r="A101" s="21" t="s">
        <v>418</v>
      </c>
      <c r="B101" s="2" t="s">
        <v>308</v>
      </c>
      <c r="C101" s="2" t="s">
        <v>4</v>
      </c>
      <c r="D101" s="2"/>
      <c r="E101" s="2">
        <v>80</v>
      </c>
      <c r="F101" s="2"/>
      <c r="G101" s="2" t="str">
        <f>VLOOKUP(E101,geoINDEX50!$A:$C,3,FALSE)</f>
        <v>#6BC200</v>
      </c>
      <c r="H101" s="71" t="s">
        <v>2691</v>
      </c>
      <c r="I101" s="95">
        <v>83</v>
      </c>
      <c r="J101" s="96" t="s">
        <v>2594</v>
      </c>
    </row>
    <row r="102" spans="1:10" x14ac:dyDescent="0.25">
      <c r="A102" s="21" t="s">
        <v>418</v>
      </c>
      <c r="B102" s="2" t="s">
        <v>309</v>
      </c>
      <c r="C102" s="2" t="s">
        <v>131</v>
      </c>
      <c r="D102" s="2"/>
      <c r="E102" s="2">
        <v>11</v>
      </c>
      <c r="F102" s="2"/>
      <c r="G102" s="2" t="str">
        <f>VLOOKUP(E102,geoINDEX50!$A:$C,3,FALSE)</f>
        <v>#C2B600</v>
      </c>
      <c r="H102" s="71" t="s">
        <v>2692</v>
      </c>
      <c r="I102" s="95">
        <v>84</v>
      </c>
      <c r="J102" s="96" t="s">
        <v>2594</v>
      </c>
    </row>
    <row r="103" spans="1:10" x14ac:dyDescent="0.25">
      <c r="A103" s="21" t="s">
        <v>418</v>
      </c>
      <c r="B103" s="2" t="s">
        <v>311</v>
      </c>
      <c r="C103" s="2" t="s">
        <v>310</v>
      </c>
      <c r="D103" s="2"/>
      <c r="E103" s="2"/>
      <c r="F103" s="2"/>
      <c r="G103" s="2" t="s">
        <v>2327</v>
      </c>
      <c r="H103" s="71" t="s">
        <v>2693</v>
      </c>
      <c r="I103" s="95">
        <v>85</v>
      </c>
      <c r="J103" s="96" t="s">
        <v>2594</v>
      </c>
    </row>
    <row r="104" spans="1:10" x14ac:dyDescent="0.25">
      <c r="A104" s="22" t="s">
        <v>418</v>
      </c>
      <c r="B104" s="4">
        <v>5</v>
      </c>
      <c r="C104" s="4" t="s">
        <v>128</v>
      </c>
      <c r="D104" s="4"/>
      <c r="E104" s="4">
        <v>220</v>
      </c>
      <c r="F104" s="4"/>
      <c r="G104" s="4" t="str">
        <f>VLOOKUP(E104,geoINDEX50!$A:$C,3,FALSE)</f>
        <v>#55BB48</v>
      </c>
      <c r="H104" s="72" t="s">
        <v>2602</v>
      </c>
      <c r="I104" s="95">
        <v>86</v>
      </c>
      <c r="J104" s="96" t="s">
        <v>2594</v>
      </c>
    </row>
    <row r="105" spans="1:10" x14ac:dyDescent="0.25">
      <c r="A105" s="21" t="s">
        <v>418</v>
      </c>
      <c r="B105" s="6" t="s">
        <v>507</v>
      </c>
      <c r="C105" s="2" t="s">
        <v>68</v>
      </c>
      <c r="D105" s="2"/>
      <c r="E105" s="2">
        <v>4</v>
      </c>
      <c r="F105" s="2"/>
      <c r="G105" s="2" t="str">
        <f>VLOOKUP(E105,geoINDEX50!$A:$C,3,FALSE)</f>
        <v>#80FF00</v>
      </c>
      <c r="H105" s="71" t="s">
        <v>2694</v>
      </c>
      <c r="I105" s="95">
        <v>87</v>
      </c>
      <c r="J105" s="96" t="s">
        <v>2594</v>
      </c>
    </row>
    <row r="106" spans="1:10" x14ac:dyDescent="0.25">
      <c r="A106" s="21" t="s">
        <v>418</v>
      </c>
      <c r="B106" s="2" t="s">
        <v>224</v>
      </c>
      <c r="C106" s="2" t="s">
        <v>101</v>
      </c>
      <c r="D106" s="2"/>
      <c r="E106" s="2">
        <v>363</v>
      </c>
      <c r="F106" s="2"/>
      <c r="G106" s="2" t="str">
        <f>VLOOKUP(E106,geoINDEX50!$A:$C,3,FALSE)</f>
        <v>#D1FFEB</v>
      </c>
      <c r="H106" s="71" t="s">
        <v>2695</v>
      </c>
      <c r="I106" s="95">
        <v>88</v>
      </c>
      <c r="J106" s="96" t="s">
        <v>2594</v>
      </c>
    </row>
    <row r="107" spans="1:10" x14ac:dyDescent="0.25">
      <c r="A107" s="21" t="s">
        <v>418</v>
      </c>
      <c r="B107" s="2" t="s">
        <v>125</v>
      </c>
      <c r="C107" s="2" t="s">
        <v>15</v>
      </c>
      <c r="D107" s="2"/>
      <c r="E107" s="2">
        <v>2</v>
      </c>
      <c r="F107" s="2"/>
      <c r="G107" s="2" t="str">
        <f>VLOOKUP(E107,geoINDEX50!$A:$C,3,FALSE)</f>
        <v>#CCFF8F</v>
      </c>
      <c r="H107" s="71" t="s">
        <v>2696</v>
      </c>
      <c r="I107" s="95">
        <v>89</v>
      </c>
      <c r="J107" s="96" t="s">
        <v>2594</v>
      </c>
    </row>
    <row r="108" spans="1:10" x14ac:dyDescent="0.25">
      <c r="A108" s="21" t="s">
        <v>418</v>
      </c>
      <c r="B108" s="2" t="s">
        <v>122</v>
      </c>
      <c r="C108" s="2" t="s">
        <v>123</v>
      </c>
      <c r="D108" s="2"/>
      <c r="E108" s="2">
        <v>51</v>
      </c>
      <c r="F108" s="2" t="s">
        <v>2298</v>
      </c>
      <c r="G108" s="2" t="str">
        <f>VLOOKUP(E108,geoINDEX50!$A:$C,3,FALSE)</f>
        <v>#A3FF82</v>
      </c>
      <c r="H108" s="71" t="s">
        <v>2697</v>
      </c>
      <c r="I108" s="95">
        <v>90</v>
      </c>
      <c r="J108" s="96" t="s">
        <v>2594</v>
      </c>
    </row>
    <row r="109" spans="1:10" x14ac:dyDescent="0.25">
      <c r="A109" s="21" t="s">
        <v>418</v>
      </c>
      <c r="B109" s="2" t="s">
        <v>120</v>
      </c>
      <c r="C109" s="2" t="s">
        <v>14</v>
      </c>
      <c r="D109" s="2"/>
      <c r="E109" s="2">
        <v>5</v>
      </c>
      <c r="F109" s="2"/>
      <c r="G109" s="2" t="str">
        <f>VLOOKUP(E109,geoINDEX50!$A:$C,3,FALSE)</f>
        <v>#A4FF83</v>
      </c>
      <c r="H109" s="71" t="s">
        <v>2698</v>
      </c>
      <c r="I109" s="95">
        <v>91</v>
      </c>
      <c r="J109" s="96" t="s">
        <v>2594</v>
      </c>
    </row>
    <row r="110" spans="1:10" x14ac:dyDescent="0.25">
      <c r="A110" s="21" t="s">
        <v>418</v>
      </c>
      <c r="B110" s="2" t="s">
        <v>118</v>
      </c>
      <c r="C110" s="2" t="s">
        <v>36</v>
      </c>
      <c r="D110" s="2"/>
      <c r="E110" s="2">
        <v>92</v>
      </c>
      <c r="F110" s="2"/>
      <c r="G110" s="2" t="str">
        <f>VLOOKUP(E110,geoINDEX50!$A:$C,3,FALSE)</f>
        <v>#80FF00</v>
      </c>
      <c r="H110" s="71" t="s">
        <v>2699</v>
      </c>
      <c r="I110" s="95">
        <v>92</v>
      </c>
      <c r="J110" s="96" t="s">
        <v>2594</v>
      </c>
    </row>
    <row r="111" spans="1:10" x14ac:dyDescent="0.25">
      <c r="A111" s="21" t="s">
        <v>418</v>
      </c>
      <c r="B111" s="2" t="s">
        <v>335</v>
      </c>
      <c r="C111" s="2" t="s">
        <v>43</v>
      </c>
      <c r="D111" s="2"/>
      <c r="E111" s="2">
        <v>79</v>
      </c>
      <c r="F111" s="2"/>
      <c r="G111" s="2" t="str">
        <f>VLOOKUP(E111,geoINDEX50!$A:$C,3,FALSE)</f>
        <v>#80FF00</v>
      </c>
      <c r="H111" s="71" t="s">
        <v>2700</v>
      </c>
      <c r="I111" s="95">
        <v>93</v>
      </c>
      <c r="J111" s="96" t="s">
        <v>2594</v>
      </c>
    </row>
    <row r="112" spans="1:10" x14ac:dyDescent="0.25">
      <c r="A112" s="21" t="s">
        <v>418</v>
      </c>
      <c r="B112" s="2" t="s">
        <v>116</v>
      </c>
      <c r="C112" s="2" t="s">
        <v>25</v>
      </c>
      <c r="D112" s="2"/>
      <c r="E112" s="2">
        <v>34</v>
      </c>
      <c r="F112" s="2"/>
      <c r="G112" s="2" t="str">
        <f>VLOOKUP(E112,geoINDEX50!$A:$C,3,FALSE)</f>
        <v>#C2D931</v>
      </c>
      <c r="H112" s="71" t="s">
        <v>2701</v>
      </c>
      <c r="I112" s="95">
        <v>94</v>
      </c>
      <c r="J112" s="96" t="s">
        <v>2594</v>
      </c>
    </row>
    <row r="113" spans="1:10" x14ac:dyDescent="0.25">
      <c r="A113" s="21" t="s">
        <v>418</v>
      </c>
      <c r="B113" s="2" t="s">
        <v>114</v>
      </c>
      <c r="C113" s="2" t="s">
        <v>97</v>
      </c>
      <c r="D113" s="2"/>
      <c r="E113" s="2">
        <v>33</v>
      </c>
      <c r="F113" s="2"/>
      <c r="G113" s="2" t="str">
        <f>VLOOKUP(E113,geoINDEX50!$A:$C,3,FALSE)</f>
        <v>#5F9F00</v>
      </c>
      <c r="H113" s="71" t="s">
        <v>2702</v>
      </c>
      <c r="I113" s="95">
        <v>95</v>
      </c>
      <c r="J113" s="96" t="s">
        <v>2594</v>
      </c>
    </row>
    <row r="114" spans="1:10" x14ac:dyDescent="0.25">
      <c r="A114" s="21" t="s">
        <v>418</v>
      </c>
      <c r="B114" s="2" t="s">
        <v>336</v>
      </c>
      <c r="C114" s="2" t="s">
        <v>42</v>
      </c>
      <c r="D114" s="2"/>
      <c r="E114" s="2">
        <v>84</v>
      </c>
      <c r="F114" s="2"/>
      <c r="G114" s="2" t="str">
        <f>VLOOKUP(E114,geoINDEX50!$A:$C,3,FALSE)</f>
        <v>#CCAE6C</v>
      </c>
      <c r="H114" s="71" t="s">
        <v>2703</v>
      </c>
      <c r="I114" s="95">
        <v>96</v>
      </c>
      <c r="J114" s="96" t="s">
        <v>2594</v>
      </c>
    </row>
    <row r="115" spans="1:10" x14ac:dyDescent="0.25">
      <c r="A115" s="21" t="s">
        <v>418</v>
      </c>
      <c r="B115" s="2" t="s">
        <v>111</v>
      </c>
      <c r="C115" s="2" t="s">
        <v>112</v>
      </c>
      <c r="D115" s="2"/>
      <c r="E115" s="2">
        <v>167</v>
      </c>
      <c r="F115" s="2"/>
      <c r="G115" s="2" t="str">
        <f>VLOOKUP(E115,geoINDEX50!$A:$C,3,FALSE)</f>
        <v>#CCFF8F</v>
      </c>
      <c r="H115" s="71" t="s">
        <v>2704</v>
      </c>
      <c r="I115" s="95">
        <v>97</v>
      </c>
      <c r="J115" s="96" t="s">
        <v>2594</v>
      </c>
    </row>
    <row r="116" spans="1:10" x14ac:dyDescent="0.25">
      <c r="A116" s="21" t="s">
        <v>418</v>
      </c>
      <c r="B116" s="2" t="s">
        <v>109</v>
      </c>
      <c r="C116" s="2" t="s">
        <v>110</v>
      </c>
      <c r="D116" s="2"/>
      <c r="E116" s="2">
        <v>27</v>
      </c>
      <c r="F116" s="2"/>
      <c r="G116" s="2" t="str">
        <f>VLOOKUP(E116,geoINDEX50!$A:$C,3,FALSE)</f>
        <v>#B7EB00</v>
      </c>
      <c r="H116" s="71" t="s">
        <v>2705</v>
      </c>
      <c r="I116" s="95">
        <v>98</v>
      </c>
      <c r="J116" s="96" t="s">
        <v>2594</v>
      </c>
    </row>
    <row r="117" spans="1:10" x14ac:dyDescent="0.25">
      <c r="A117" s="21" t="s">
        <v>418</v>
      </c>
      <c r="B117" s="2" t="s">
        <v>338</v>
      </c>
      <c r="C117" s="2" t="s">
        <v>337</v>
      </c>
      <c r="D117" s="2"/>
      <c r="E117" s="2"/>
      <c r="F117" s="2"/>
      <c r="G117" s="2" t="s">
        <v>2328</v>
      </c>
      <c r="H117" s="71" t="s">
        <v>2706</v>
      </c>
      <c r="I117" s="95">
        <v>99</v>
      </c>
      <c r="J117" s="96" t="s">
        <v>2594</v>
      </c>
    </row>
    <row r="118" spans="1:10" x14ac:dyDescent="0.25">
      <c r="A118" s="21" t="s">
        <v>418</v>
      </c>
      <c r="B118" s="2" t="s">
        <v>106</v>
      </c>
      <c r="C118" s="2" t="s">
        <v>107</v>
      </c>
      <c r="D118" s="2"/>
      <c r="E118" s="2">
        <v>137</v>
      </c>
      <c r="F118" s="2"/>
      <c r="G118" s="2" t="str">
        <f>VLOOKUP(E118,geoINDEX50!$A:$C,3,FALSE)</f>
        <v>#A4FF83</v>
      </c>
      <c r="H118" s="71" t="s">
        <v>2707</v>
      </c>
      <c r="I118" s="95">
        <v>100</v>
      </c>
      <c r="J118" s="96" t="s">
        <v>2594</v>
      </c>
    </row>
    <row r="119" spans="1:10" x14ac:dyDescent="0.25">
      <c r="A119" s="21" t="s">
        <v>418</v>
      </c>
      <c r="B119" s="2" t="s">
        <v>1395</v>
      </c>
      <c r="C119" s="2" t="s">
        <v>1394</v>
      </c>
      <c r="D119" s="2"/>
      <c r="E119" s="2">
        <v>120</v>
      </c>
      <c r="F119" s="2"/>
      <c r="G119" s="2" t="str">
        <f>VLOOKUP(E119,geoINDEX50!$A:$C,3,FALSE)</f>
        <v>#FFC7A9</v>
      </c>
      <c r="H119" s="71" t="s">
        <v>2708</v>
      </c>
      <c r="I119" s="99" t="s">
        <v>2595</v>
      </c>
      <c r="J119" s="96" t="s">
        <v>2594</v>
      </c>
    </row>
    <row r="120" spans="1:10" x14ac:dyDescent="0.25">
      <c r="A120" s="21" t="s">
        <v>418</v>
      </c>
      <c r="B120" s="2" t="s">
        <v>104</v>
      </c>
      <c r="C120" s="2" t="s">
        <v>11</v>
      </c>
      <c r="D120" s="2"/>
      <c r="E120" s="2">
        <v>125</v>
      </c>
      <c r="F120" s="2"/>
      <c r="G120" s="2" t="str">
        <f>VLOOKUP(E120,geoINDEX50!$A:$C,3,FALSE)</f>
        <v>#CCFF8F</v>
      </c>
      <c r="H120" s="71" t="s">
        <v>2709</v>
      </c>
      <c r="I120" s="95">
        <v>101</v>
      </c>
      <c r="J120" s="96" t="s">
        <v>2594</v>
      </c>
    </row>
    <row r="121" spans="1:10" x14ac:dyDescent="0.25">
      <c r="A121" s="21" t="s">
        <v>418</v>
      </c>
      <c r="B121" s="2" t="s">
        <v>510</v>
      </c>
      <c r="C121" s="2" t="s">
        <v>506</v>
      </c>
      <c r="D121" s="2"/>
      <c r="E121" s="2">
        <v>350</v>
      </c>
      <c r="F121" s="2" t="s">
        <v>2298</v>
      </c>
      <c r="G121" s="2" t="str">
        <f>VLOOKUP(E121,geoINDEX50!$A:$C,3,FALSE)</f>
        <v>#B7EB00</v>
      </c>
      <c r="H121" s="71" t="s">
        <v>2710</v>
      </c>
      <c r="I121" s="95">
        <v>102</v>
      </c>
      <c r="J121" s="96" t="s">
        <v>2594</v>
      </c>
    </row>
    <row r="122" spans="1:10" x14ac:dyDescent="0.25">
      <c r="A122" s="21" t="s">
        <v>418</v>
      </c>
      <c r="B122" s="2" t="s">
        <v>511</v>
      </c>
      <c r="C122" s="2" t="s">
        <v>225</v>
      </c>
      <c r="D122" s="2"/>
      <c r="E122" s="2">
        <v>352</v>
      </c>
      <c r="F122" s="2"/>
      <c r="G122" s="2" t="str">
        <f>VLOOKUP(E122,geoINDEX50!$A:$C,3,FALSE)</f>
        <v>#CCFF8F</v>
      </c>
      <c r="H122" s="71" t="s">
        <v>2711</v>
      </c>
      <c r="I122" s="95">
        <v>103</v>
      </c>
      <c r="J122" s="96" t="s">
        <v>2594</v>
      </c>
    </row>
    <row r="123" spans="1:10" x14ac:dyDescent="0.25">
      <c r="A123" s="21" t="s">
        <v>418</v>
      </c>
      <c r="B123" s="2" t="s">
        <v>1396</v>
      </c>
      <c r="C123" s="2" t="s">
        <v>1397</v>
      </c>
      <c r="D123" s="2"/>
      <c r="E123" s="2">
        <v>122</v>
      </c>
      <c r="F123" s="2"/>
      <c r="G123" s="2" t="str">
        <f>VLOOKUP(E123,geoINDEX50!$A:$C,3,FALSE)</f>
        <v>#CFDE9A</v>
      </c>
      <c r="H123" s="71" t="s">
        <v>2712</v>
      </c>
      <c r="I123" s="99" t="s">
        <v>2595</v>
      </c>
      <c r="J123" s="96" t="s">
        <v>2594</v>
      </c>
    </row>
    <row r="124" spans="1:10" x14ac:dyDescent="0.25">
      <c r="A124" s="21" t="s">
        <v>418</v>
      </c>
      <c r="B124" s="2" t="s">
        <v>508</v>
      </c>
      <c r="C124" s="2" t="s">
        <v>504</v>
      </c>
      <c r="D124" s="2"/>
      <c r="E124" s="2">
        <v>403</v>
      </c>
      <c r="F124" s="2"/>
      <c r="G124" s="2" t="str">
        <f>VLOOKUP(E124,geoINDEX50!$A:$C,3,FALSE)</f>
        <v>#EB0670</v>
      </c>
      <c r="H124" s="71" t="s">
        <v>2713</v>
      </c>
      <c r="I124" s="95">
        <v>104</v>
      </c>
      <c r="J124" s="96" t="s">
        <v>2594</v>
      </c>
    </row>
    <row r="125" spans="1:10" x14ac:dyDescent="0.25">
      <c r="A125" s="21" t="s">
        <v>418</v>
      </c>
      <c r="B125" s="2" t="s">
        <v>509</v>
      </c>
      <c r="C125" s="2" t="s">
        <v>505</v>
      </c>
      <c r="D125" s="2"/>
      <c r="E125" s="2"/>
      <c r="F125" s="2"/>
      <c r="G125" s="2" t="s">
        <v>2330</v>
      </c>
      <c r="H125" s="71" t="s">
        <v>2714</v>
      </c>
      <c r="I125" s="95">
        <v>105</v>
      </c>
      <c r="J125" s="96" t="s">
        <v>2594</v>
      </c>
    </row>
    <row r="126" spans="1:10" x14ac:dyDescent="0.25">
      <c r="A126" s="22" t="s">
        <v>418</v>
      </c>
      <c r="B126" s="4">
        <v>6</v>
      </c>
      <c r="C126" s="4" t="s">
        <v>98</v>
      </c>
      <c r="D126" s="4"/>
      <c r="E126" s="4"/>
      <c r="F126" s="4"/>
      <c r="G126" s="4" t="s">
        <v>1913</v>
      </c>
      <c r="H126" s="72" t="s">
        <v>3350</v>
      </c>
      <c r="I126" s="95">
        <v>106</v>
      </c>
      <c r="J126" s="96" t="s">
        <v>2594</v>
      </c>
    </row>
    <row r="127" spans="1:10" x14ac:dyDescent="0.25">
      <c r="A127" s="21" t="s">
        <v>418</v>
      </c>
      <c r="B127" s="2" t="s">
        <v>95</v>
      </c>
      <c r="C127" s="2" t="s">
        <v>96</v>
      </c>
      <c r="D127" s="2"/>
      <c r="E127" s="2">
        <v>15</v>
      </c>
      <c r="F127" s="2"/>
      <c r="G127" s="2" t="str">
        <f>VLOOKUP(E127,geoINDEX50!$A:$C,3,FALSE)</f>
        <v>#FFCC71</v>
      </c>
      <c r="H127" s="71" t="s">
        <v>2715</v>
      </c>
      <c r="I127" s="95">
        <v>107</v>
      </c>
      <c r="J127" s="96" t="s">
        <v>2594</v>
      </c>
    </row>
    <row r="128" spans="1:10" x14ac:dyDescent="0.25">
      <c r="A128" s="21" t="s">
        <v>418</v>
      </c>
      <c r="B128" s="2" t="s">
        <v>92</v>
      </c>
      <c r="C128" s="2" t="s">
        <v>93</v>
      </c>
      <c r="D128" s="2"/>
      <c r="E128" s="2">
        <v>14</v>
      </c>
      <c r="F128" s="2"/>
      <c r="G128" s="2" t="str">
        <f>VLOOKUP(E128,geoINDEX50!$A:$C,3,FALSE)</f>
        <v>#AB9F50</v>
      </c>
      <c r="H128" s="71" t="s">
        <v>2716</v>
      </c>
      <c r="I128" s="95">
        <v>108</v>
      </c>
      <c r="J128" s="96" t="s">
        <v>2594</v>
      </c>
    </row>
    <row r="129" spans="1:10" x14ac:dyDescent="0.25">
      <c r="A129" s="21" t="s">
        <v>418</v>
      </c>
      <c r="B129" s="2" t="s">
        <v>89</v>
      </c>
      <c r="C129" s="2" t="s">
        <v>90</v>
      </c>
      <c r="D129" s="2"/>
      <c r="E129" s="2">
        <v>126</v>
      </c>
      <c r="F129" s="2"/>
      <c r="G129" s="2" t="str">
        <f>VLOOKUP(E129,geoINDEX50!$A:$C,3,FALSE)</f>
        <v>#CDE300</v>
      </c>
      <c r="H129" s="71" t="s">
        <v>2717</v>
      </c>
      <c r="I129" s="95">
        <v>109</v>
      </c>
      <c r="J129" s="96" t="s">
        <v>2594</v>
      </c>
    </row>
    <row r="130" spans="1:10" x14ac:dyDescent="0.25">
      <c r="A130" s="21" t="s">
        <v>418</v>
      </c>
      <c r="B130" s="2" t="s">
        <v>502</v>
      </c>
      <c r="C130" s="2" t="s">
        <v>503</v>
      </c>
      <c r="D130" s="2"/>
      <c r="E130" s="2"/>
      <c r="F130" s="2"/>
      <c r="G130" s="2" t="s">
        <v>2331</v>
      </c>
      <c r="H130" s="71" t="s">
        <v>2718</v>
      </c>
      <c r="I130" s="95">
        <v>110</v>
      </c>
      <c r="J130" s="96" t="s">
        <v>2594</v>
      </c>
    </row>
    <row r="131" spans="1:10" x14ac:dyDescent="0.25">
      <c r="A131" s="21" t="s">
        <v>418</v>
      </c>
      <c r="B131" s="2" t="s">
        <v>86</v>
      </c>
      <c r="C131" s="2" t="s">
        <v>87</v>
      </c>
      <c r="D131" s="2"/>
      <c r="E131" s="2">
        <v>138</v>
      </c>
      <c r="F131" s="2"/>
      <c r="G131" s="2" t="str">
        <f>VLOOKUP(E131,geoINDEX50!$A:$C,3,FALSE)</f>
        <v>#FFCC71</v>
      </c>
      <c r="H131" s="71" t="s">
        <v>2719</v>
      </c>
      <c r="I131" s="95">
        <v>111</v>
      </c>
      <c r="J131" s="96" t="s">
        <v>2594</v>
      </c>
    </row>
    <row r="132" spans="1:10" x14ac:dyDescent="0.25">
      <c r="A132" s="22" t="s">
        <v>418</v>
      </c>
      <c r="B132" s="4">
        <v>7</v>
      </c>
      <c r="C132" s="4" t="s">
        <v>84</v>
      </c>
      <c r="D132" s="4"/>
      <c r="E132" s="4">
        <v>54</v>
      </c>
      <c r="F132" s="4"/>
      <c r="G132" s="4" t="str">
        <f>VLOOKUP(E132,geoINDEX50!$A:$C,3,FALSE)</f>
        <v>#82B000</v>
      </c>
      <c r="H132" s="72" t="s">
        <v>2604</v>
      </c>
      <c r="I132" s="95">
        <v>112</v>
      </c>
      <c r="J132" s="96" t="s">
        <v>2594</v>
      </c>
    </row>
    <row r="133" spans="1:10" x14ac:dyDescent="0.25">
      <c r="A133" s="21" t="s">
        <v>418</v>
      </c>
      <c r="B133" s="2" t="s">
        <v>81</v>
      </c>
      <c r="C133" s="2" t="s">
        <v>82</v>
      </c>
      <c r="D133" s="2"/>
      <c r="E133" s="2">
        <v>17</v>
      </c>
      <c r="F133" s="2"/>
      <c r="G133" s="2" t="str">
        <f>VLOOKUP(E133,geoINDEX50!$A:$C,3,FALSE)</f>
        <v>#FFC7A9</v>
      </c>
      <c r="H133" s="71" t="s">
        <v>2720</v>
      </c>
      <c r="I133" s="95">
        <v>113</v>
      </c>
      <c r="J133" s="96" t="s">
        <v>2594</v>
      </c>
    </row>
    <row r="134" spans="1:10" x14ac:dyDescent="0.25">
      <c r="A134" s="21" t="s">
        <v>418</v>
      </c>
      <c r="B134" s="2" t="s">
        <v>78</v>
      </c>
      <c r="C134" s="2" t="s">
        <v>79</v>
      </c>
      <c r="D134" s="2"/>
      <c r="E134" s="2">
        <v>39</v>
      </c>
      <c r="F134" s="2"/>
      <c r="G134" s="2" t="str">
        <f>VLOOKUP(E134,geoINDEX50!$A:$C,3,FALSE)</f>
        <v>#CFDE9A</v>
      </c>
      <c r="H134" s="71" t="s">
        <v>2721</v>
      </c>
      <c r="I134" s="95">
        <v>114</v>
      </c>
      <c r="J134" s="96" t="s">
        <v>2594</v>
      </c>
    </row>
    <row r="135" spans="1:10" x14ac:dyDescent="0.25">
      <c r="A135" s="21" t="s">
        <v>418</v>
      </c>
      <c r="B135" s="2" t="s">
        <v>76</v>
      </c>
      <c r="C135" s="2" t="s">
        <v>77</v>
      </c>
      <c r="D135" s="2"/>
      <c r="E135" s="2">
        <v>40</v>
      </c>
      <c r="F135" s="2"/>
      <c r="G135" s="2" t="str">
        <f>VLOOKUP(E135,geoINDEX50!$A:$C,3,FALSE)</f>
        <v>#91B000</v>
      </c>
      <c r="H135" s="71" t="s">
        <v>2722</v>
      </c>
      <c r="I135" s="95">
        <v>115</v>
      </c>
      <c r="J135" s="96" t="s">
        <v>2594</v>
      </c>
    </row>
    <row r="136" spans="1:10" x14ac:dyDescent="0.25">
      <c r="A136" s="21" t="s">
        <v>418</v>
      </c>
      <c r="B136" s="2" t="s">
        <v>74</v>
      </c>
      <c r="C136" s="2" t="s">
        <v>23</v>
      </c>
      <c r="D136" s="2"/>
      <c r="E136" s="2">
        <v>42</v>
      </c>
      <c r="F136" s="2"/>
      <c r="G136" s="2" t="str">
        <f>VLOOKUP(E136,geoINDEX50!$A:$C,3,FALSE)</f>
        <v>#B0B678</v>
      </c>
      <c r="H136" s="71" t="s">
        <v>2723</v>
      </c>
      <c r="I136" s="95">
        <v>116</v>
      </c>
      <c r="J136" s="96" t="s">
        <v>2594</v>
      </c>
    </row>
    <row r="137" spans="1:10" x14ac:dyDescent="0.25">
      <c r="A137" s="109" t="s">
        <v>418</v>
      </c>
      <c r="B137" s="110" t="s">
        <v>72</v>
      </c>
      <c r="C137" s="110" t="s">
        <v>22</v>
      </c>
      <c r="D137" s="110" t="s">
        <v>340</v>
      </c>
      <c r="E137" s="110">
        <v>43</v>
      </c>
      <c r="F137" s="110"/>
      <c r="G137" s="110" t="str">
        <f>VLOOKUP(E137,geoINDEX50!$A:$C,3,FALSE)</f>
        <v>#BDD7CC</v>
      </c>
      <c r="H137" s="111" t="s">
        <v>2724</v>
      </c>
      <c r="I137" s="112">
        <v>117</v>
      </c>
      <c r="J137" s="113" t="s">
        <v>2594</v>
      </c>
    </row>
    <row r="138" spans="1:10" x14ac:dyDescent="0.25">
      <c r="A138" s="109" t="s">
        <v>418</v>
      </c>
      <c r="B138" s="110" t="s">
        <v>69</v>
      </c>
      <c r="C138" s="110" t="s">
        <v>70</v>
      </c>
      <c r="D138" s="110" t="s">
        <v>340</v>
      </c>
      <c r="E138" s="110">
        <v>44</v>
      </c>
      <c r="F138" s="110"/>
      <c r="G138" s="110" t="str">
        <f>VLOOKUP(E138,geoINDEX50!$A:$C,3,FALSE)</f>
        <v>#BDD7CC</v>
      </c>
      <c r="H138" s="111" t="s">
        <v>2725</v>
      </c>
      <c r="I138" s="112">
        <v>118</v>
      </c>
      <c r="J138" s="113" t="s">
        <v>2594</v>
      </c>
    </row>
    <row r="139" spans="1:10" x14ac:dyDescent="0.25">
      <c r="A139" s="109" t="s">
        <v>418</v>
      </c>
      <c r="B139" s="110" t="s">
        <v>260</v>
      </c>
      <c r="C139" s="110" t="s">
        <v>257</v>
      </c>
      <c r="D139" s="110" t="s">
        <v>340</v>
      </c>
      <c r="E139" s="110"/>
      <c r="F139" s="110"/>
      <c r="G139" s="110" t="s">
        <v>2334</v>
      </c>
      <c r="H139" s="111" t="s">
        <v>2726</v>
      </c>
      <c r="I139" s="112">
        <v>119</v>
      </c>
      <c r="J139" s="113" t="s">
        <v>2594</v>
      </c>
    </row>
    <row r="140" spans="1:10" x14ac:dyDescent="0.25">
      <c r="A140" s="21" t="s">
        <v>418</v>
      </c>
      <c r="B140" s="2" t="s">
        <v>256</v>
      </c>
      <c r="C140" s="2" t="s">
        <v>62</v>
      </c>
      <c r="D140" s="2"/>
      <c r="E140" s="2">
        <v>127</v>
      </c>
      <c r="F140" s="2"/>
      <c r="G140" s="2" t="str">
        <f>VLOOKUP(E140,geoINDEX50!$A:$C,3,FALSE)</f>
        <v>#91B000</v>
      </c>
      <c r="H140" s="71" t="s">
        <v>2727</v>
      </c>
      <c r="I140" s="95">
        <v>120</v>
      </c>
      <c r="J140" s="96" t="s">
        <v>2594</v>
      </c>
    </row>
    <row r="141" spans="1:10" x14ac:dyDescent="0.25">
      <c r="A141" s="21" t="s">
        <v>418</v>
      </c>
      <c r="B141" s="2" t="s">
        <v>258</v>
      </c>
      <c r="C141" s="2" t="s">
        <v>155</v>
      </c>
      <c r="D141" s="2"/>
      <c r="E141" s="2">
        <v>54</v>
      </c>
      <c r="F141" s="2" t="s">
        <v>2299</v>
      </c>
      <c r="G141" s="2" t="str">
        <f>VLOOKUP(E141,geoINDEX50!$A:$C,3,FALSE)</f>
        <v>#82B000</v>
      </c>
      <c r="H141" s="71" t="s">
        <v>2728</v>
      </c>
      <c r="I141" s="95">
        <v>121</v>
      </c>
      <c r="J141" s="96" t="s">
        <v>2594</v>
      </c>
    </row>
    <row r="142" spans="1:10" x14ac:dyDescent="0.25">
      <c r="A142" s="21" t="s">
        <v>418</v>
      </c>
      <c r="B142" s="2" t="s">
        <v>259</v>
      </c>
      <c r="C142" s="2" t="s">
        <v>85</v>
      </c>
      <c r="D142" s="2"/>
      <c r="E142" s="2">
        <v>409</v>
      </c>
      <c r="F142" s="2"/>
      <c r="G142" s="2" t="str">
        <f>VLOOKUP(E142,geoINDEX50!$A:$C,3,FALSE)</f>
        <v>#BDD7CC</v>
      </c>
      <c r="H142" s="71" t="s">
        <v>2729</v>
      </c>
      <c r="I142" s="95">
        <v>122</v>
      </c>
      <c r="J142" s="96" t="s">
        <v>2594</v>
      </c>
    </row>
    <row r="143" spans="1:10" x14ac:dyDescent="0.25">
      <c r="A143" s="21" t="s">
        <v>418</v>
      </c>
      <c r="B143" s="2" t="s">
        <v>262</v>
      </c>
      <c r="C143" s="2" t="s">
        <v>261</v>
      </c>
      <c r="D143" s="2"/>
      <c r="E143" s="2">
        <v>54</v>
      </c>
      <c r="F143" s="2" t="s">
        <v>2299</v>
      </c>
      <c r="G143" s="2" t="str">
        <f>VLOOKUP(E143,geoINDEX50!$A:$C,3,FALSE)</f>
        <v>#82B000</v>
      </c>
      <c r="H143" s="71" t="s">
        <v>2730</v>
      </c>
      <c r="I143" s="95">
        <v>123</v>
      </c>
      <c r="J143" s="96" t="s">
        <v>2594</v>
      </c>
    </row>
    <row r="144" spans="1:10" x14ac:dyDescent="0.25">
      <c r="A144" s="21" t="s">
        <v>418</v>
      </c>
      <c r="B144" s="6" t="s">
        <v>59</v>
      </c>
      <c r="C144" s="6" t="s">
        <v>59</v>
      </c>
      <c r="D144" s="6" t="s">
        <v>340</v>
      </c>
      <c r="E144" s="6"/>
      <c r="F144" s="6"/>
      <c r="G144" s="6" t="s">
        <v>2332</v>
      </c>
      <c r="H144" s="71" t="s">
        <v>2731</v>
      </c>
      <c r="I144" s="95">
        <v>124</v>
      </c>
      <c r="J144" s="96" t="s">
        <v>2594</v>
      </c>
    </row>
    <row r="145" spans="1:10" x14ac:dyDescent="0.25">
      <c r="A145" s="21" t="s">
        <v>418</v>
      </c>
      <c r="B145" s="6" t="s">
        <v>0</v>
      </c>
      <c r="C145" s="6" t="s">
        <v>0</v>
      </c>
      <c r="D145" s="6" t="s">
        <v>340</v>
      </c>
      <c r="E145" s="6"/>
      <c r="F145" s="6" t="s">
        <v>2299</v>
      </c>
      <c r="G145" s="6" t="s">
        <v>2333</v>
      </c>
      <c r="H145" s="71" t="s">
        <v>2732</v>
      </c>
      <c r="I145" s="95">
        <v>125</v>
      </c>
      <c r="J145" s="96" t="s">
        <v>2594</v>
      </c>
    </row>
    <row r="146" spans="1:10" x14ac:dyDescent="0.25">
      <c r="A146" s="21" t="s">
        <v>418</v>
      </c>
      <c r="B146" s="2" t="s">
        <v>64</v>
      </c>
      <c r="C146" s="2" t="s">
        <v>65</v>
      </c>
      <c r="D146" s="2"/>
      <c r="E146" s="2">
        <v>139</v>
      </c>
      <c r="F146" s="2"/>
      <c r="G146" s="2" t="str">
        <f>VLOOKUP(E146,geoINDEX50!$A:$C,3,FALSE)</f>
        <v>#91B000</v>
      </c>
      <c r="H146" s="71" t="s">
        <v>2733</v>
      </c>
      <c r="I146" s="95">
        <v>126</v>
      </c>
      <c r="J146" s="96" t="s">
        <v>2594</v>
      </c>
    </row>
    <row r="147" spans="1:10" x14ac:dyDescent="0.25">
      <c r="A147" s="21" t="s">
        <v>418</v>
      </c>
      <c r="B147" s="2" t="s">
        <v>264</v>
      </c>
      <c r="C147" s="2" t="s">
        <v>263</v>
      </c>
      <c r="D147" s="2"/>
      <c r="E147" s="2"/>
      <c r="F147" s="2"/>
      <c r="G147" s="2" t="s">
        <v>2335</v>
      </c>
      <c r="H147" s="71" t="s">
        <v>2734</v>
      </c>
      <c r="I147" s="95">
        <v>127</v>
      </c>
      <c r="J147" s="96" t="s">
        <v>2594</v>
      </c>
    </row>
    <row r="148" spans="1:10" x14ac:dyDescent="0.25">
      <c r="A148" s="21" t="s">
        <v>418</v>
      </c>
      <c r="B148" s="2" t="s">
        <v>518</v>
      </c>
      <c r="C148" s="2" t="s">
        <v>517</v>
      </c>
      <c r="D148" s="2"/>
      <c r="E148" s="2">
        <v>209</v>
      </c>
      <c r="F148" s="2"/>
      <c r="G148" s="2" t="str">
        <f>VLOOKUP(E148,geoINDEX50!$A:$C,3,FALSE)</f>
        <v>#91B000</v>
      </c>
      <c r="H148" s="71" t="s">
        <v>2735</v>
      </c>
      <c r="I148" s="95">
        <v>129</v>
      </c>
      <c r="J148" s="96" t="s">
        <v>2594</v>
      </c>
    </row>
    <row r="149" spans="1:10" x14ac:dyDescent="0.25">
      <c r="A149" s="21" t="s">
        <v>418</v>
      </c>
      <c r="B149" s="2" t="s">
        <v>520</v>
      </c>
      <c r="C149" s="2" t="s">
        <v>519</v>
      </c>
      <c r="D149" s="2"/>
      <c r="E149" s="2">
        <v>208</v>
      </c>
      <c r="F149" s="2"/>
      <c r="G149" s="2" t="str">
        <f>VLOOKUP(E149,geoINDEX50!$A:$C,3,FALSE)</f>
        <v>#BDD7CC</v>
      </c>
      <c r="H149" s="71" t="s">
        <v>2736</v>
      </c>
      <c r="I149" s="95">
        <v>130</v>
      </c>
      <c r="J149" s="96" t="s">
        <v>2594</v>
      </c>
    </row>
    <row r="150" spans="1:10" x14ac:dyDescent="0.25">
      <c r="A150" s="22" t="s">
        <v>418</v>
      </c>
      <c r="B150" s="4">
        <v>8</v>
      </c>
      <c r="C150" s="4" t="s">
        <v>245</v>
      </c>
      <c r="D150" s="4"/>
      <c r="E150" s="4">
        <v>220</v>
      </c>
      <c r="F150" s="4"/>
      <c r="G150" s="4" t="str">
        <f>VLOOKUP(E150,geoINDEX50!$A:$C,3,FALSE)</f>
        <v>#55BB48</v>
      </c>
      <c r="H150" s="72" t="s">
        <v>2605</v>
      </c>
      <c r="I150" s="95">
        <v>131</v>
      </c>
      <c r="J150" s="96" t="s">
        <v>2594</v>
      </c>
    </row>
    <row r="151" spans="1:10" x14ac:dyDescent="0.25">
      <c r="A151" s="21" t="s">
        <v>418</v>
      </c>
      <c r="B151" s="2" t="s">
        <v>171</v>
      </c>
      <c r="C151" s="2" t="s">
        <v>226</v>
      </c>
      <c r="D151" s="2"/>
      <c r="E151" s="2"/>
      <c r="F151" s="2"/>
      <c r="G151" s="2" t="s">
        <v>2336</v>
      </c>
      <c r="H151" s="71" t="s">
        <v>2737</v>
      </c>
      <c r="I151" s="95">
        <v>132</v>
      </c>
      <c r="J151" s="96" t="s">
        <v>2594</v>
      </c>
    </row>
    <row r="152" spans="1:10" x14ac:dyDescent="0.25">
      <c r="A152" s="21" t="s">
        <v>418</v>
      </c>
      <c r="B152" s="2" t="s">
        <v>174</v>
      </c>
      <c r="C152" s="2" t="s">
        <v>227</v>
      </c>
      <c r="D152" s="2"/>
      <c r="E152" s="2">
        <v>407</v>
      </c>
      <c r="F152" s="2"/>
      <c r="G152" s="2" t="str">
        <f>VLOOKUP(E152,geoINDEX50!$A:$C,3,FALSE)</f>
        <v>#FF8D7A</v>
      </c>
      <c r="H152" s="71" t="s">
        <v>2738</v>
      </c>
      <c r="I152" s="95">
        <v>133</v>
      </c>
      <c r="J152" s="96" t="s">
        <v>2594</v>
      </c>
    </row>
    <row r="153" spans="1:10" x14ac:dyDescent="0.25">
      <c r="A153" s="21" t="s">
        <v>418</v>
      </c>
      <c r="B153" s="2" t="s">
        <v>172</v>
      </c>
      <c r="C153" s="2" t="s">
        <v>228</v>
      </c>
      <c r="D153" s="2"/>
      <c r="E153" s="2"/>
      <c r="F153" s="2"/>
      <c r="G153" s="2" t="s">
        <v>2329</v>
      </c>
      <c r="H153" s="71" t="s">
        <v>2739</v>
      </c>
      <c r="I153" s="95">
        <v>134</v>
      </c>
      <c r="J153" s="96" t="s">
        <v>2594</v>
      </c>
    </row>
    <row r="154" spans="1:10" x14ac:dyDescent="0.25">
      <c r="A154" s="21" t="s">
        <v>418</v>
      </c>
      <c r="B154" s="2" t="s">
        <v>175</v>
      </c>
      <c r="C154" s="2" t="s">
        <v>229</v>
      </c>
      <c r="D154" s="2"/>
      <c r="E154" s="2"/>
      <c r="F154" s="2"/>
      <c r="G154" s="2" t="s">
        <v>2337</v>
      </c>
      <c r="H154" s="71" t="s">
        <v>2740</v>
      </c>
      <c r="I154" s="95">
        <v>135</v>
      </c>
      <c r="J154" s="96" t="s">
        <v>2594</v>
      </c>
    </row>
    <row r="155" spans="1:10" x14ac:dyDescent="0.25">
      <c r="A155" s="21" t="s">
        <v>418</v>
      </c>
      <c r="B155" s="2" t="s">
        <v>173</v>
      </c>
      <c r="C155" s="2" t="s">
        <v>246</v>
      </c>
      <c r="D155" s="2"/>
      <c r="E155" s="2"/>
      <c r="F155" s="2"/>
      <c r="G155" s="2" t="s">
        <v>2338</v>
      </c>
      <c r="H155" s="71" t="s">
        <v>2741</v>
      </c>
      <c r="I155" s="95">
        <v>136</v>
      </c>
      <c r="J155" s="96" t="s">
        <v>2594</v>
      </c>
    </row>
    <row r="156" spans="1:10" x14ac:dyDescent="0.25">
      <c r="A156" s="21" t="s">
        <v>418</v>
      </c>
      <c r="B156" s="2" t="s">
        <v>176</v>
      </c>
      <c r="C156" s="2" t="s">
        <v>247</v>
      </c>
      <c r="D156" s="2"/>
      <c r="E156" s="2"/>
      <c r="F156" s="2"/>
      <c r="G156" s="2" t="s">
        <v>2339</v>
      </c>
      <c r="H156" s="71" t="s">
        <v>2742</v>
      </c>
      <c r="I156" s="95">
        <v>137</v>
      </c>
      <c r="J156" s="96" t="s">
        <v>2594</v>
      </c>
    </row>
    <row r="157" spans="1:10" x14ac:dyDescent="0.25">
      <c r="A157" s="21" t="s">
        <v>418</v>
      </c>
      <c r="B157" s="2" t="s">
        <v>170</v>
      </c>
      <c r="C157" s="2" t="s">
        <v>248</v>
      </c>
      <c r="D157" s="2"/>
      <c r="E157" s="2"/>
      <c r="F157" s="2"/>
      <c r="G157" s="2" t="s">
        <v>2340</v>
      </c>
      <c r="H157" s="71" t="s">
        <v>2743</v>
      </c>
      <c r="I157" s="95">
        <v>138</v>
      </c>
      <c r="J157" s="96" t="s">
        <v>2594</v>
      </c>
    </row>
    <row r="158" spans="1:10" x14ac:dyDescent="0.25">
      <c r="A158" s="21" t="s">
        <v>418</v>
      </c>
      <c r="B158" s="2" t="s">
        <v>250</v>
      </c>
      <c r="C158" s="2" t="s">
        <v>249</v>
      </c>
      <c r="D158" s="2"/>
      <c r="E158" s="2"/>
      <c r="F158" s="2"/>
      <c r="G158" s="2" t="s">
        <v>2341</v>
      </c>
      <c r="H158" s="71" t="s">
        <v>2744</v>
      </c>
      <c r="I158" s="95">
        <v>139</v>
      </c>
      <c r="J158" s="96" t="s">
        <v>2594</v>
      </c>
    </row>
    <row r="159" spans="1:10" x14ac:dyDescent="0.25">
      <c r="A159" s="21" t="s">
        <v>418</v>
      </c>
      <c r="B159" s="2" t="s">
        <v>251</v>
      </c>
      <c r="C159" s="2" t="s">
        <v>66</v>
      </c>
      <c r="D159" s="2"/>
      <c r="E159" s="2">
        <v>220</v>
      </c>
      <c r="F159" s="2" t="s">
        <v>2299</v>
      </c>
      <c r="G159" s="2" t="str">
        <f>VLOOKUP(E159,geoINDEX50!$A:$C,3,FALSE)</f>
        <v>#55BB48</v>
      </c>
      <c r="H159" s="71" t="s">
        <v>2745</v>
      </c>
      <c r="I159" s="95">
        <v>140</v>
      </c>
      <c r="J159" s="96" t="s">
        <v>2594</v>
      </c>
    </row>
    <row r="160" spans="1:10" x14ac:dyDescent="0.25">
      <c r="A160" s="21" t="s">
        <v>418</v>
      </c>
      <c r="B160" s="2" t="s">
        <v>254</v>
      </c>
      <c r="C160" s="2" t="s">
        <v>252</v>
      </c>
      <c r="D160" s="2"/>
      <c r="E160" s="2"/>
      <c r="F160" s="2"/>
      <c r="G160" s="2" t="s">
        <v>2342</v>
      </c>
      <c r="H160" s="71" t="s">
        <v>2746</v>
      </c>
      <c r="I160" s="95">
        <v>141</v>
      </c>
      <c r="J160" s="96" t="s">
        <v>2594</v>
      </c>
    </row>
    <row r="161" spans="1:10" x14ac:dyDescent="0.25">
      <c r="A161" s="21" t="s">
        <v>418</v>
      </c>
      <c r="B161" s="2" t="s">
        <v>255</v>
      </c>
      <c r="C161" s="2" t="s">
        <v>253</v>
      </c>
      <c r="D161" s="2"/>
      <c r="E161" s="2"/>
      <c r="F161" s="2"/>
      <c r="G161" s="2" t="s">
        <v>2343</v>
      </c>
      <c r="H161" s="71" t="s">
        <v>2747</v>
      </c>
      <c r="I161" s="95">
        <v>142</v>
      </c>
      <c r="J161" s="96" t="s">
        <v>2594</v>
      </c>
    </row>
    <row r="162" spans="1:10" x14ac:dyDescent="0.25">
      <c r="A162" s="22" t="s">
        <v>418</v>
      </c>
      <c r="B162" s="4">
        <v>9</v>
      </c>
      <c r="C162" s="4" t="s">
        <v>61</v>
      </c>
      <c r="D162" s="4"/>
      <c r="E162" s="4">
        <v>43</v>
      </c>
      <c r="F162" s="4" t="s">
        <v>2298</v>
      </c>
      <c r="G162" s="4" t="str">
        <f>VLOOKUP(E162,geoINDEX50!$A:$C,3,FALSE)</f>
        <v>#BDD7CC</v>
      </c>
      <c r="H162" s="72" t="s">
        <v>2606</v>
      </c>
      <c r="I162" s="95">
        <v>143</v>
      </c>
      <c r="J162" s="96" t="s">
        <v>2594</v>
      </c>
    </row>
    <row r="163" spans="1:10" x14ac:dyDescent="0.25">
      <c r="A163" s="21" t="s">
        <v>418</v>
      </c>
      <c r="B163" s="2" t="s">
        <v>177</v>
      </c>
      <c r="C163" s="2" t="s">
        <v>60</v>
      </c>
      <c r="D163" s="2"/>
      <c r="E163" s="2">
        <v>43</v>
      </c>
      <c r="F163" s="2" t="s">
        <v>2299</v>
      </c>
      <c r="G163" s="2" t="str">
        <f>VLOOKUP(E163,geoINDEX50!$A:$C,3,FALSE)</f>
        <v>#BDD7CC</v>
      </c>
      <c r="H163" s="71" t="s">
        <v>2748</v>
      </c>
      <c r="I163" s="95">
        <v>144</v>
      </c>
      <c r="J163" s="96" t="s">
        <v>2594</v>
      </c>
    </row>
    <row r="164" spans="1:10" x14ac:dyDescent="0.25">
      <c r="A164" s="21" t="s">
        <v>418</v>
      </c>
      <c r="B164" s="2" t="s">
        <v>178</v>
      </c>
      <c r="C164" s="2" t="s">
        <v>58</v>
      </c>
      <c r="D164" s="2"/>
      <c r="E164" s="2">
        <v>43</v>
      </c>
      <c r="F164" s="2" t="s">
        <v>2299</v>
      </c>
      <c r="G164" s="2" t="str">
        <f>VLOOKUP(E164,geoINDEX50!$A:$C,3,FALSE)</f>
        <v>#BDD7CC</v>
      </c>
      <c r="H164" s="71" t="s">
        <v>2749</v>
      </c>
      <c r="I164" s="95">
        <v>145</v>
      </c>
      <c r="J164" s="96" t="s">
        <v>2594</v>
      </c>
    </row>
    <row r="165" spans="1:10" x14ac:dyDescent="0.25">
      <c r="A165" s="21" t="s">
        <v>418</v>
      </c>
      <c r="B165" s="2" t="s">
        <v>179</v>
      </c>
      <c r="C165" s="2" t="s">
        <v>57</v>
      </c>
      <c r="D165" s="2"/>
      <c r="E165" s="2">
        <v>43</v>
      </c>
      <c r="F165" s="2" t="s">
        <v>2299</v>
      </c>
      <c r="G165" s="2" t="str">
        <f>VLOOKUP(E165,geoINDEX50!$A:$C,3,FALSE)</f>
        <v>#BDD7CC</v>
      </c>
      <c r="H165" s="71" t="s">
        <v>2750</v>
      </c>
      <c r="I165" s="95">
        <v>146</v>
      </c>
      <c r="J165" s="96" t="s">
        <v>2594</v>
      </c>
    </row>
    <row r="166" spans="1:10" x14ac:dyDescent="0.25">
      <c r="A166" s="21" t="s">
        <v>418</v>
      </c>
      <c r="B166" s="2" t="s">
        <v>181</v>
      </c>
      <c r="C166" s="2" t="s">
        <v>55</v>
      </c>
      <c r="D166" s="2"/>
      <c r="E166" s="2">
        <v>43</v>
      </c>
      <c r="F166" s="2" t="s">
        <v>2299</v>
      </c>
      <c r="G166" s="2" t="str">
        <f>VLOOKUP(E166,geoINDEX50!$A:$C,3,FALSE)</f>
        <v>#BDD7CC</v>
      </c>
      <c r="H166" s="71" t="s">
        <v>2751</v>
      </c>
      <c r="I166" s="95">
        <v>147</v>
      </c>
      <c r="J166" s="96" t="s">
        <v>2594</v>
      </c>
    </row>
    <row r="167" spans="1:10" x14ac:dyDescent="0.25">
      <c r="A167" s="21" t="s">
        <v>418</v>
      </c>
      <c r="B167" s="2" t="s">
        <v>182</v>
      </c>
      <c r="C167" s="2" t="s">
        <v>53</v>
      </c>
      <c r="D167" s="2"/>
      <c r="E167" s="2"/>
      <c r="F167" s="2"/>
      <c r="G167" s="2" t="s">
        <v>2344</v>
      </c>
      <c r="H167" s="71" t="s">
        <v>2752</v>
      </c>
      <c r="I167" s="95">
        <v>148</v>
      </c>
      <c r="J167" s="96" t="s">
        <v>2594</v>
      </c>
    </row>
    <row r="168" spans="1:10" s="10" customFormat="1" x14ac:dyDescent="0.25">
      <c r="A168" s="21" t="s">
        <v>418</v>
      </c>
      <c r="B168" s="7" t="s">
        <v>184</v>
      </c>
      <c r="C168" s="7" t="s">
        <v>21</v>
      </c>
      <c r="D168" s="7"/>
      <c r="E168" s="7">
        <v>196</v>
      </c>
      <c r="F168" s="7"/>
      <c r="G168" s="7" t="str">
        <f>VLOOKUP(E168,geoINDEX50!$A:$C,3,FALSE)</f>
        <v>#E64097</v>
      </c>
      <c r="H168" s="74" t="s">
        <v>2753</v>
      </c>
      <c r="I168" s="95">
        <v>149</v>
      </c>
      <c r="J168" s="96" t="s">
        <v>2594</v>
      </c>
    </row>
    <row r="169" spans="1:10" x14ac:dyDescent="0.25">
      <c r="A169" s="21" t="s">
        <v>418</v>
      </c>
      <c r="B169" s="2" t="s">
        <v>183</v>
      </c>
      <c r="C169" s="2" t="s">
        <v>51</v>
      </c>
      <c r="D169" s="2"/>
      <c r="E169" s="2">
        <v>43</v>
      </c>
      <c r="F169" s="2" t="s">
        <v>2299</v>
      </c>
      <c r="G169" s="2" t="str">
        <f>VLOOKUP(E169,geoINDEX50!$A:$C,3,FALSE)</f>
        <v>#BDD7CC</v>
      </c>
      <c r="H169" s="71" t="s">
        <v>2754</v>
      </c>
      <c r="I169" s="95">
        <v>150</v>
      </c>
      <c r="J169" s="96" t="s">
        <v>2594</v>
      </c>
    </row>
    <row r="170" spans="1:10" x14ac:dyDescent="0.25">
      <c r="A170" s="21" t="s">
        <v>418</v>
      </c>
      <c r="B170" s="2" t="s">
        <v>186</v>
      </c>
      <c r="C170" s="2" t="s">
        <v>50</v>
      </c>
      <c r="D170" s="2"/>
      <c r="E170" s="2">
        <v>43</v>
      </c>
      <c r="F170" s="2" t="s">
        <v>2299</v>
      </c>
      <c r="G170" s="2" t="str">
        <f>VLOOKUP(E170,geoINDEX50!$A:$C,3,FALSE)</f>
        <v>#BDD7CC</v>
      </c>
      <c r="H170" s="71" t="s">
        <v>2755</v>
      </c>
      <c r="I170" s="95">
        <v>151</v>
      </c>
      <c r="J170" s="96" t="s">
        <v>2594</v>
      </c>
    </row>
    <row r="171" spans="1:10" x14ac:dyDescent="0.25">
      <c r="A171" s="21" t="s">
        <v>418</v>
      </c>
      <c r="B171" s="2" t="s">
        <v>187</v>
      </c>
      <c r="C171" s="2" t="s">
        <v>48</v>
      </c>
      <c r="D171" s="2"/>
      <c r="E171" s="2"/>
      <c r="F171" s="2"/>
      <c r="G171" s="2" t="s">
        <v>1433</v>
      </c>
      <c r="H171" s="71" t="s">
        <v>2756</v>
      </c>
      <c r="I171" s="95">
        <v>152</v>
      </c>
      <c r="J171" s="96" t="s">
        <v>2594</v>
      </c>
    </row>
    <row r="172" spans="1:10" x14ac:dyDescent="0.25">
      <c r="A172" s="21" t="s">
        <v>418</v>
      </c>
      <c r="B172" s="2" t="s">
        <v>188</v>
      </c>
      <c r="C172" s="2" t="s">
        <v>46</v>
      </c>
      <c r="D172" s="2"/>
      <c r="E172" s="2"/>
      <c r="F172" s="2"/>
      <c r="G172" s="2" t="s">
        <v>1429</v>
      </c>
      <c r="H172" s="71" t="s">
        <v>2757</v>
      </c>
      <c r="I172" s="95">
        <v>153</v>
      </c>
      <c r="J172" s="96" t="s">
        <v>2594</v>
      </c>
    </row>
    <row r="173" spans="1:10" x14ac:dyDescent="0.25">
      <c r="A173" s="21" t="s">
        <v>418</v>
      </c>
      <c r="B173" s="6" t="s">
        <v>345</v>
      </c>
      <c r="C173" s="6" t="s">
        <v>10</v>
      </c>
      <c r="D173" s="6"/>
      <c r="E173" s="6">
        <v>191</v>
      </c>
      <c r="F173" s="6"/>
      <c r="G173" s="6" t="str">
        <f>VLOOKUP(E173,geoINDEX50!$A:$C,3,FALSE)</f>
        <v>#CAD7A6</v>
      </c>
      <c r="H173" s="71" t="s">
        <v>2758</v>
      </c>
      <c r="I173" s="95">
        <v>154</v>
      </c>
      <c r="J173" s="96" t="s">
        <v>2594</v>
      </c>
    </row>
    <row r="174" spans="1:10" x14ac:dyDescent="0.25">
      <c r="A174" s="21" t="s">
        <v>418</v>
      </c>
      <c r="B174" s="6" t="s">
        <v>230</v>
      </c>
      <c r="C174" s="6" t="s">
        <v>155</v>
      </c>
      <c r="D174" s="6" t="s">
        <v>340</v>
      </c>
      <c r="E174" s="6">
        <v>54</v>
      </c>
      <c r="F174" s="6" t="s">
        <v>2299</v>
      </c>
      <c r="G174" s="6" t="str">
        <f>VLOOKUP(E174,geoINDEX50!$A:$C,3,FALSE)</f>
        <v>#82B000</v>
      </c>
      <c r="H174" s="71" t="s">
        <v>2728</v>
      </c>
      <c r="I174" s="95">
        <v>155</v>
      </c>
      <c r="J174" s="96" t="s">
        <v>2594</v>
      </c>
    </row>
    <row r="175" spans="1:10" x14ac:dyDescent="0.25">
      <c r="A175" s="21" t="s">
        <v>418</v>
      </c>
      <c r="B175" s="6" t="s">
        <v>231</v>
      </c>
      <c r="C175" s="6" t="s">
        <v>22</v>
      </c>
      <c r="D175" s="6" t="s">
        <v>340</v>
      </c>
      <c r="E175" s="6">
        <v>43</v>
      </c>
      <c r="F175" s="6"/>
      <c r="G175" s="6" t="str">
        <f>VLOOKUP(E175,geoINDEX50!$A:$C,3,FALSE)</f>
        <v>#BDD7CC</v>
      </c>
      <c r="H175" s="71" t="s">
        <v>2724</v>
      </c>
      <c r="I175" s="95">
        <v>156</v>
      </c>
      <c r="J175" s="96" t="s">
        <v>2594</v>
      </c>
    </row>
    <row r="176" spans="1:10" x14ac:dyDescent="0.25">
      <c r="A176" s="21" t="s">
        <v>418</v>
      </c>
      <c r="B176" s="6" t="s">
        <v>232</v>
      </c>
      <c r="C176" s="6" t="s">
        <v>70</v>
      </c>
      <c r="D176" s="6" t="s">
        <v>340</v>
      </c>
      <c r="E176" s="6">
        <v>44</v>
      </c>
      <c r="F176" s="6"/>
      <c r="G176" s="6" t="str">
        <f>VLOOKUP(E176,geoINDEX50!$A:$C,3,FALSE)</f>
        <v>#BDD7CC</v>
      </c>
      <c r="H176" s="71" t="s">
        <v>2725</v>
      </c>
      <c r="I176" s="95">
        <v>157</v>
      </c>
      <c r="J176" s="96" t="s">
        <v>2594</v>
      </c>
    </row>
    <row r="177" spans="1:10" x14ac:dyDescent="0.25">
      <c r="A177" s="21" t="s">
        <v>418</v>
      </c>
      <c r="B177" s="6" t="s">
        <v>233</v>
      </c>
      <c r="C177" s="6" t="s">
        <v>32</v>
      </c>
      <c r="D177" s="6" t="s">
        <v>340</v>
      </c>
      <c r="E177" s="6">
        <v>41</v>
      </c>
      <c r="F177" s="6"/>
      <c r="G177" s="6" t="str">
        <f>VLOOKUP(E177,geoINDEX50!$A:$C,3,FALSE)</f>
        <v>#A1D6B5</v>
      </c>
      <c r="H177" s="71" t="s">
        <v>2759</v>
      </c>
      <c r="I177" s="95">
        <v>158</v>
      </c>
      <c r="J177" s="96" t="s">
        <v>2594</v>
      </c>
    </row>
    <row r="178" spans="1:10" x14ac:dyDescent="0.25">
      <c r="A178" s="21" t="s">
        <v>418</v>
      </c>
      <c r="B178" s="6" t="s">
        <v>234</v>
      </c>
      <c r="C178" s="6" t="s">
        <v>67</v>
      </c>
      <c r="D178" s="6" t="s">
        <v>340</v>
      </c>
      <c r="E178" s="6">
        <v>129</v>
      </c>
      <c r="F178" s="6"/>
      <c r="G178" s="6" t="str">
        <f>VLOOKUP(E178,geoINDEX50!$A:$C,3,FALSE)</f>
        <v>#08D800</v>
      </c>
      <c r="H178" s="71" t="s">
        <v>2760</v>
      </c>
      <c r="I178" s="95">
        <v>159</v>
      </c>
      <c r="J178" s="96" t="s">
        <v>2594</v>
      </c>
    </row>
    <row r="179" spans="1:10" s="10" customFormat="1" x14ac:dyDescent="0.25">
      <c r="A179" s="21" t="s">
        <v>418</v>
      </c>
      <c r="B179" s="7" t="s">
        <v>266</v>
      </c>
      <c r="C179" s="7" t="s">
        <v>153</v>
      </c>
      <c r="D179" s="7"/>
      <c r="E179" s="7">
        <v>43</v>
      </c>
      <c r="F179" s="7" t="s">
        <v>2299</v>
      </c>
      <c r="G179" s="7" t="str">
        <f>VLOOKUP(E179,geoINDEX50!$A:$C,3,FALSE)</f>
        <v>#BDD7CC</v>
      </c>
      <c r="H179" s="74" t="s">
        <v>2761</v>
      </c>
      <c r="I179" s="95">
        <v>160</v>
      </c>
      <c r="J179" s="96" t="s">
        <v>2594</v>
      </c>
    </row>
    <row r="180" spans="1:10" s="10" customFormat="1" x14ac:dyDescent="0.25">
      <c r="A180" s="21" t="s">
        <v>418</v>
      </c>
      <c r="B180" s="7" t="s">
        <v>365</v>
      </c>
      <c r="C180" s="7" t="s">
        <v>1400</v>
      </c>
      <c r="D180" s="7"/>
      <c r="E180" s="7">
        <v>43</v>
      </c>
      <c r="F180" s="7" t="s">
        <v>2299</v>
      </c>
      <c r="G180" s="7" t="str">
        <f>VLOOKUP(E180,geoINDEX50!$A:$C,3,FALSE)</f>
        <v>#BDD7CC</v>
      </c>
      <c r="H180" s="74" t="s">
        <v>2762</v>
      </c>
      <c r="I180" s="95">
        <v>161</v>
      </c>
      <c r="J180" s="96" t="s">
        <v>2594</v>
      </c>
    </row>
    <row r="181" spans="1:10" s="10" customFormat="1" x14ac:dyDescent="0.25">
      <c r="A181" s="21" t="s">
        <v>418</v>
      </c>
      <c r="B181" s="7" t="s">
        <v>267</v>
      </c>
      <c r="C181" s="7" t="s">
        <v>151</v>
      </c>
      <c r="D181" s="7"/>
      <c r="E181" s="7">
        <v>43</v>
      </c>
      <c r="F181" s="7" t="s">
        <v>2299</v>
      </c>
      <c r="G181" s="7" t="str">
        <f>VLOOKUP(E181,geoINDEX50!$A:$C,3,FALSE)</f>
        <v>#BDD7CC</v>
      </c>
      <c r="H181" s="74" t="s">
        <v>2763</v>
      </c>
      <c r="I181" s="95">
        <v>162</v>
      </c>
      <c r="J181" s="96" t="s">
        <v>2594</v>
      </c>
    </row>
    <row r="182" spans="1:10" s="10" customFormat="1" x14ac:dyDescent="0.25">
      <c r="A182" s="21" t="s">
        <v>418</v>
      </c>
      <c r="B182" s="7" t="s">
        <v>367</v>
      </c>
      <c r="C182" s="7" t="s">
        <v>49</v>
      </c>
      <c r="D182" s="7" t="s">
        <v>340</v>
      </c>
      <c r="E182" s="7">
        <v>109</v>
      </c>
      <c r="F182" s="7" t="s">
        <v>2299</v>
      </c>
      <c r="G182" s="7" t="str">
        <f>VLOOKUP(E182,geoINDEX50!$A:$C,3,FALSE)</f>
        <v>#A500A5</v>
      </c>
      <c r="H182" s="74" t="s">
        <v>2764</v>
      </c>
      <c r="I182" s="95">
        <v>163</v>
      </c>
      <c r="J182" s="96" t="s">
        <v>2594</v>
      </c>
    </row>
    <row r="183" spans="1:10" s="10" customFormat="1" x14ac:dyDescent="0.25">
      <c r="A183" s="21" t="s">
        <v>418</v>
      </c>
      <c r="B183" s="7" t="s">
        <v>368</v>
      </c>
      <c r="C183" s="7" t="s">
        <v>16</v>
      </c>
      <c r="D183" s="7"/>
      <c r="E183" s="7">
        <v>43</v>
      </c>
      <c r="F183" s="7" t="s">
        <v>2299</v>
      </c>
      <c r="G183" s="7" t="str">
        <f>VLOOKUP(E183,geoINDEX50!$A:$C,3,FALSE)</f>
        <v>#BDD7CC</v>
      </c>
      <c r="H183" s="74" t="s">
        <v>2765</v>
      </c>
      <c r="I183" s="95">
        <v>164</v>
      </c>
      <c r="J183" s="96" t="s">
        <v>2594</v>
      </c>
    </row>
    <row r="184" spans="1:10" s="10" customFormat="1" x14ac:dyDescent="0.25">
      <c r="A184" s="21" t="s">
        <v>418</v>
      </c>
      <c r="B184" s="7" t="s">
        <v>369</v>
      </c>
      <c r="C184" s="7" t="s">
        <v>265</v>
      </c>
      <c r="D184" s="7"/>
      <c r="E184" s="7">
        <v>43</v>
      </c>
      <c r="F184" s="7" t="s">
        <v>2299</v>
      </c>
      <c r="G184" s="7" t="str">
        <f>VLOOKUP(E184,geoINDEX50!$A:$C,3,FALSE)</f>
        <v>#BDD7CC</v>
      </c>
      <c r="H184" s="74" t="s">
        <v>2766</v>
      </c>
      <c r="I184" s="95">
        <v>165</v>
      </c>
      <c r="J184" s="96" t="s">
        <v>2594</v>
      </c>
    </row>
    <row r="185" spans="1:10" s="10" customFormat="1" x14ac:dyDescent="0.25">
      <c r="A185" s="22" t="s">
        <v>418</v>
      </c>
      <c r="B185" s="8">
        <v>10</v>
      </c>
      <c r="C185" s="8" t="s">
        <v>200</v>
      </c>
      <c r="D185" s="8"/>
      <c r="E185" s="8"/>
      <c r="F185" s="8"/>
      <c r="G185" s="8" t="s">
        <v>1427</v>
      </c>
      <c r="H185" s="75" t="s">
        <v>2767</v>
      </c>
      <c r="I185" s="95">
        <v>166</v>
      </c>
      <c r="J185" s="96" t="s">
        <v>2594</v>
      </c>
    </row>
    <row r="186" spans="1:10" s="10" customFormat="1" x14ac:dyDescent="0.25">
      <c r="A186" s="21" t="s">
        <v>418</v>
      </c>
      <c r="B186" s="7" t="s">
        <v>268</v>
      </c>
      <c r="C186" s="7" t="s">
        <v>2</v>
      </c>
      <c r="D186" s="7"/>
      <c r="E186" s="7">
        <v>314</v>
      </c>
      <c r="F186" s="7" t="s">
        <v>2299</v>
      </c>
      <c r="G186" s="7" t="str">
        <f>VLOOKUP(E186,geoINDEX50!$A:$C,3,FALSE)</f>
        <v>#C7EBFA</v>
      </c>
      <c r="H186" s="74" t="s">
        <v>2768</v>
      </c>
      <c r="I186" s="95">
        <v>167</v>
      </c>
      <c r="J186" s="96" t="s">
        <v>2594</v>
      </c>
    </row>
    <row r="187" spans="1:10" s="10" customFormat="1" x14ac:dyDescent="0.25">
      <c r="A187" s="21" t="s">
        <v>418</v>
      </c>
      <c r="B187" s="6" t="s">
        <v>342</v>
      </c>
      <c r="C187" s="6" t="s">
        <v>29</v>
      </c>
      <c r="D187" s="6" t="s">
        <v>339</v>
      </c>
      <c r="E187" s="6">
        <v>314</v>
      </c>
      <c r="F187" s="6" t="s">
        <v>2299</v>
      </c>
      <c r="G187" s="6" t="str">
        <f>VLOOKUP(E187,geoINDEX50!$A:$C,3,FALSE)</f>
        <v>#C7EBFA</v>
      </c>
      <c r="H187" s="74" t="s">
        <v>2769</v>
      </c>
      <c r="I187" s="95">
        <v>168</v>
      </c>
      <c r="J187" s="96" t="s">
        <v>2594</v>
      </c>
    </row>
    <row r="188" spans="1:10" s="10" customFormat="1" x14ac:dyDescent="0.25">
      <c r="A188" s="21" t="s">
        <v>418</v>
      </c>
      <c r="B188" s="7" t="s">
        <v>269</v>
      </c>
      <c r="C188" s="7" t="s">
        <v>137</v>
      </c>
      <c r="D188" s="7"/>
      <c r="E188" s="7">
        <v>233</v>
      </c>
      <c r="F188" s="7"/>
      <c r="G188" s="7" t="str">
        <f>VLOOKUP(E188,geoINDEX50!$A:$C,3,FALSE)</f>
        <v>#A0C4DA</v>
      </c>
      <c r="H188" s="74" t="s">
        <v>2770</v>
      </c>
      <c r="I188" s="95">
        <v>169</v>
      </c>
      <c r="J188" s="96" t="s">
        <v>2594</v>
      </c>
    </row>
    <row r="189" spans="1:10" s="10" customFormat="1" x14ac:dyDescent="0.25">
      <c r="A189" s="21" t="s">
        <v>418</v>
      </c>
      <c r="B189" s="7" t="s">
        <v>270</v>
      </c>
      <c r="C189" s="7" t="s">
        <v>63</v>
      </c>
      <c r="D189" s="7"/>
      <c r="E189" s="7">
        <v>314</v>
      </c>
      <c r="F189" s="7" t="s">
        <v>2299</v>
      </c>
      <c r="G189" s="7" t="str">
        <f>VLOOKUP(E189,geoINDEX50!$A:$C,3,FALSE)</f>
        <v>#C7EBFA</v>
      </c>
      <c r="H189" s="74" t="s">
        <v>2771</v>
      </c>
      <c r="I189" s="95">
        <v>170</v>
      </c>
      <c r="J189" s="96" t="s">
        <v>2594</v>
      </c>
    </row>
    <row r="190" spans="1:10" s="10" customFormat="1" x14ac:dyDescent="0.25">
      <c r="A190" s="21" t="s">
        <v>418</v>
      </c>
      <c r="B190" s="7" t="s">
        <v>271</v>
      </c>
      <c r="C190" s="7" t="s">
        <v>135</v>
      </c>
      <c r="D190" s="7"/>
      <c r="E190" s="7">
        <v>232</v>
      </c>
      <c r="F190" s="7"/>
      <c r="G190" s="7" t="str">
        <f>VLOOKUP(E190,geoINDEX50!$A:$C,3,FALSE)</f>
        <v>#0E3BA0</v>
      </c>
      <c r="H190" s="74" t="s">
        <v>2772</v>
      </c>
      <c r="I190" s="95">
        <v>171</v>
      </c>
      <c r="J190" s="96" t="s">
        <v>2594</v>
      </c>
    </row>
    <row r="191" spans="1:10" s="10" customFormat="1" x14ac:dyDescent="0.25">
      <c r="A191" s="21" t="s">
        <v>418</v>
      </c>
      <c r="B191" s="7" t="s">
        <v>272</v>
      </c>
      <c r="C191" s="7" t="s">
        <v>134</v>
      </c>
      <c r="D191" s="7"/>
      <c r="E191" s="7">
        <v>131</v>
      </c>
      <c r="F191" s="7"/>
      <c r="G191" s="7" t="str">
        <f>VLOOKUP(E191,geoINDEX50!$A:$C,3,FALSE)</f>
        <v>#7ACCC7</v>
      </c>
      <c r="H191" s="74" t="s">
        <v>2773</v>
      </c>
      <c r="I191" s="95">
        <v>172</v>
      </c>
      <c r="J191" s="96" t="s">
        <v>2594</v>
      </c>
    </row>
    <row r="192" spans="1:10" s="10" customFormat="1" x14ac:dyDescent="0.25">
      <c r="A192" s="21" t="s">
        <v>418</v>
      </c>
      <c r="B192" s="7" t="s">
        <v>274</v>
      </c>
      <c r="C192" s="7" t="s">
        <v>273</v>
      </c>
      <c r="D192" s="7"/>
      <c r="E192" s="7"/>
      <c r="F192" s="7"/>
      <c r="G192" s="7" t="s">
        <v>2345</v>
      </c>
      <c r="H192" s="74" t="s">
        <v>2774</v>
      </c>
      <c r="I192" s="95">
        <v>173</v>
      </c>
      <c r="J192" s="96" t="s">
        <v>2594</v>
      </c>
    </row>
    <row r="193" spans="1:10" s="11" customFormat="1" x14ac:dyDescent="0.25">
      <c r="A193" s="21" t="s">
        <v>418</v>
      </c>
      <c r="B193" s="6" t="s">
        <v>370</v>
      </c>
      <c r="C193" s="6" t="s">
        <v>30</v>
      </c>
      <c r="D193" s="6" t="s">
        <v>371</v>
      </c>
      <c r="E193" s="6">
        <v>109</v>
      </c>
      <c r="F193" s="6" t="s">
        <v>2299</v>
      </c>
      <c r="G193" s="6" t="str">
        <f>VLOOKUP(E193,geoINDEX50!$A:$C,3,FALSE)</f>
        <v>#A500A5</v>
      </c>
      <c r="H193" s="73" t="s">
        <v>2775</v>
      </c>
      <c r="I193" s="95">
        <v>174</v>
      </c>
      <c r="J193" s="96" t="s">
        <v>2594</v>
      </c>
    </row>
    <row r="194" spans="1:10" s="10" customFormat="1" x14ac:dyDescent="0.25">
      <c r="A194" s="21" t="s">
        <v>418</v>
      </c>
      <c r="B194" s="7" t="s">
        <v>275</v>
      </c>
      <c r="C194" s="7" t="s">
        <v>341</v>
      </c>
      <c r="D194" s="7"/>
      <c r="E194" s="7">
        <v>314</v>
      </c>
      <c r="F194" s="7" t="s">
        <v>2299</v>
      </c>
      <c r="G194" s="7" t="str">
        <f>VLOOKUP(E194,geoINDEX50!$A:$C,3,FALSE)</f>
        <v>#C7EBFA</v>
      </c>
      <c r="H194" s="74" t="s">
        <v>2776</v>
      </c>
      <c r="I194" s="95">
        <v>175</v>
      </c>
      <c r="J194" s="96" t="s">
        <v>2594</v>
      </c>
    </row>
    <row r="195" spans="1:10" s="10" customFormat="1" x14ac:dyDescent="0.25">
      <c r="A195" s="21" t="s">
        <v>418</v>
      </c>
      <c r="B195" s="7" t="s">
        <v>276</v>
      </c>
      <c r="C195" s="7" t="s">
        <v>133</v>
      </c>
      <c r="D195" s="7"/>
      <c r="E195" s="7">
        <v>303</v>
      </c>
      <c r="F195" s="7"/>
      <c r="G195" s="7" t="str">
        <f>VLOOKUP(E195,geoINDEX50!$A:$C,3,FALSE)</f>
        <v>#7ECCBC</v>
      </c>
      <c r="H195" s="74" t="s">
        <v>2777</v>
      </c>
      <c r="I195" s="95">
        <v>176</v>
      </c>
      <c r="J195" s="96" t="s">
        <v>2594</v>
      </c>
    </row>
    <row r="196" spans="1:10" s="10" customFormat="1" x14ac:dyDescent="0.25">
      <c r="A196" s="21" t="s">
        <v>418</v>
      </c>
      <c r="B196" s="7" t="s">
        <v>278</v>
      </c>
      <c r="C196" s="7" t="s">
        <v>277</v>
      </c>
      <c r="D196" s="7"/>
      <c r="E196" s="7">
        <v>185</v>
      </c>
      <c r="F196" s="7"/>
      <c r="G196" s="7" t="str">
        <f>VLOOKUP(E196,geoINDEX50!$A:$C,3,FALSE)</f>
        <v>#7ECCBC</v>
      </c>
      <c r="H196" s="74" t="s">
        <v>2778</v>
      </c>
      <c r="I196" s="95">
        <v>177</v>
      </c>
      <c r="J196" s="96" t="s">
        <v>2594</v>
      </c>
    </row>
    <row r="197" spans="1:10" s="10" customFormat="1" x14ac:dyDescent="0.25">
      <c r="A197" s="21" t="s">
        <v>418</v>
      </c>
      <c r="B197" s="7" t="s">
        <v>279</v>
      </c>
      <c r="C197" s="7" t="s">
        <v>132</v>
      </c>
      <c r="D197" s="7"/>
      <c r="E197" s="7">
        <v>314</v>
      </c>
      <c r="F197" s="7" t="s">
        <v>2299</v>
      </c>
      <c r="G197" s="7" t="str">
        <f>VLOOKUP(E197,geoINDEX50!$A:$C,3,FALSE)</f>
        <v>#C7EBFA</v>
      </c>
      <c r="H197" s="74" t="s">
        <v>2779</v>
      </c>
      <c r="I197" s="95">
        <v>178</v>
      </c>
      <c r="J197" s="96" t="s">
        <v>2594</v>
      </c>
    </row>
    <row r="198" spans="1:10" s="10" customFormat="1" x14ac:dyDescent="0.25">
      <c r="A198" s="21" t="s">
        <v>418</v>
      </c>
      <c r="B198" s="7" t="s">
        <v>280</v>
      </c>
      <c r="C198" s="2" t="s">
        <v>83</v>
      </c>
      <c r="D198" s="7"/>
      <c r="E198" s="2">
        <v>314</v>
      </c>
      <c r="F198" s="2" t="s">
        <v>2299</v>
      </c>
      <c r="G198" s="2" t="str">
        <f>VLOOKUP(E198,geoINDEX50!$A:$C,3,FALSE)</f>
        <v>#C7EBFA</v>
      </c>
      <c r="H198" s="74" t="s">
        <v>2780</v>
      </c>
      <c r="I198" s="95">
        <v>179</v>
      </c>
      <c r="J198" s="96" t="s">
        <v>2594</v>
      </c>
    </row>
    <row r="199" spans="1:10" s="10" customFormat="1" x14ac:dyDescent="0.25">
      <c r="A199" s="21" t="s">
        <v>418</v>
      </c>
      <c r="B199" s="7" t="s">
        <v>235</v>
      </c>
      <c r="C199" s="7" t="s">
        <v>180</v>
      </c>
      <c r="D199" s="7"/>
      <c r="E199" s="7"/>
      <c r="F199" s="7"/>
      <c r="G199" s="7" t="s">
        <v>2346</v>
      </c>
      <c r="H199" s="74" t="s">
        <v>2781</v>
      </c>
      <c r="I199" s="95">
        <v>180</v>
      </c>
      <c r="J199" s="96" t="s">
        <v>2594</v>
      </c>
    </row>
    <row r="200" spans="1:10" s="10" customFormat="1" x14ac:dyDescent="0.25">
      <c r="A200" s="21" t="s">
        <v>418</v>
      </c>
      <c r="B200" s="7" t="s">
        <v>282</v>
      </c>
      <c r="C200" s="7" t="s">
        <v>281</v>
      </c>
      <c r="D200" s="7"/>
      <c r="E200" s="7"/>
      <c r="F200" s="7"/>
      <c r="G200" s="7" t="s">
        <v>2347</v>
      </c>
      <c r="H200" s="74" t="s">
        <v>2782</v>
      </c>
      <c r="I200" s="95">
        <v>181</v>
      </c>
      <c r="J200" s="96" t="s">
        <v>2594</v>
      </c>
    </row>
    <row r="201" spans="1:10" s="10" customFormat="1" x14ac:dyDescent="0.25">
      <c r="A201" s="21" t="s">
        <v>418</v>
      </c>
      <c r="B201" s="7" t="s">
        <v>283</v>
      </c>
      <c r="C201" s="7" t="s">
        <v>130</v>
      </c>
      <c r="D201" s="7"/>
      <c r="E201" s="7">
        <v>314</v>
      </c>
      <c r="F201" s="7" t="s">
        <v>2299</v>
      </c>
      <c r="G201" s="7" t="str">
        <f>VLOOKUP(E201,geoINDEX50!$A:$C,3,FALSE)</f>
        <v>#C7EBFA</v>
      </c>
      <c r="H201" s="74" t="s">
        <v>2783</v>
      </c>
      <c r="I201" s="95">
        <v>182</v>
      </c>
      <c r="J201" s="96" t="s">
        <v>2594</v>
      </c>
    </row>
    <row r="202" spans="1:10" s="10" customFormat="1" x14ac:dyDescent="0.25">
      <c r="A202" s="21" t="s">
        <v>418</v>
      </c>
      <c r="B202" s="7" t="s">
        <v>284</v>
      </c>
      <c r="C202" s="7" t="s">
        <v>185</v>
      </c>
      <c r="D202" s="7"/>
      <c r="E202" s="7"/>
      <c r="F202" s="7"/>
      <c r="G202" s="7" t="s">
        <v>2347</v>
      </c>
      <c r="H202" s="74" t="s">
        <v>2784</v>
      </c>
      <c r="I202" s="95">
        <v>183</v>
      </c>
      <c r="J202" s="96" t="s">
        <v>2594</v>
      </c>
    </row>
    <row r="203" spans="1:10" s="10" customFormat="1" x14ac:dyDescent="0.25">
      <c r="A203" s="21" t="s">
        <v>418</v>
      </c>
      <c r="B203" s="7" t="s">
        <v>285</v>
      </c>
      <c r="C203" s="7" t="s">
        <v>286</v>
      </c>
      <c r="D203" s="7"/>
      <c r="E203" s="7"/>
      <c r="F203" s="7"/>
      <c r="G203" s="7" t="s">
        <v>2346</v>
      </c>
      <c r="H203" s="74" t="s">
        <v>2785</v>
      </c>
      <c r="I203" s="95">
        <v>184</v>
      </c>
      <c r="J203" s="96" t="s">
        <v>2594</v>
      </c>
    </row>
    <row r="204" spans="1:10" s="10" customFormat="1" x14ac:dyDescent="0.25">
      <c r="A204" s="21" t="s">
        <v>418</v>
      </c>
      <c r="B204" s="7" t="s">
        <v>287</v>
      </c>
      <c r="C204" s="2" t="s">
        <v>80</v>
      </c>
      <c r="D204" s="7"/>
      <c r="E204" s="2">
        <v>107</v>
      </c>
      <c r="F204" s="2"/>
      <c r="G204" s="2" t="str">
        <f>VLOOKUP(E204,geoINDEX50!$A:$C,3,FALSE)</f>
        <v>#C73232</v>
      </c>
      <c r="H204" s="74" t="s">
        <v>2786</v>
      </c>
      <c r="I204" s="95">
        <v>185</v>
      </c>
      <c r="J204" s="96" t="s">
        <v>2594</v>
      </c>
    </row>
    <row r="205" spans="1:10" s="10" customFormat="1" x14ac:dyDescent="0.25">
      <c r="A205" s="21" t="s">
        <v>418</v>
      </c>
      <c r="B205" s="7" t="s">
        <v>236</v>
      </c>
      <c r="C205" s="7" t="s">
        <v>129</v>
      </c>
      <c r="D205" s="7"/>
      <c r="E205" s="7">
        <v>198</v>
      </c>
      <c r="F205" s="7"/>
      <c r="G205" s="7" t="str">
        <f>VLOOKUP(E205,geoINDEX50!$A:$C,3,FALSE)</f>
        <v>#9CC2BB</v>
      </c>
      <c r="H205" s="74" t="s">
        <v>2787</v>
      </c>
      <c r="I205" s="95">
        <v>186</v>
      </c>
      <c r="J205" s="96" t="s">
        <v>2594</v>
      </c>
    </row>
    <row r="206" spans="1:10" s="10" customFormat="1" x14ac:dyDescent="0.25">
      <c r="A206" s="21" t="s">
        <v>418</v>
      </c>
      <c r="B206" s="7" t="s">
        <v>288</v>
      </c>
      <c r="C206" s="7" t="s">
        <v>5</v>
      </c>
      <c r="D206" s="7"/>
      <c r="E206" s="7">
        <v>314</v>
      </c>
      <c r="F206" s="7" t="s">
        <v>2299</v>
      </c>
      <c r="G206" s="7" t="str">
        <f>VLOOKUP(E206,geoINDEX50!$A:$C,3,FALSE)</f>
        <v>#C7EBFA</v>
      </c>
      <c r="H206" s="74" t="s">
        <v>2788</v>
      </c>
      <c r="I206" s="95">
        <v>187</v>
      </c>
      <c r="J206" s="96" t="s">
        <v>2594</v>
      </c>
    </row>
    <row r="207" spans="1:10" s="10" customFormat="1" x14ac:dyDescent="0.25">
      <c r="A207" s="21" t="s">
        <v>418</v>
      </c>
      <c r="B207" s="7" t="s">
        <v>289</v>
      </c>
      <c r="C207" s="7" t="s">
        <v>56</v>
      </c>
      <c r="D207" s="7"/>
      <c r="E207" s="7">
        <v>314</v>
      </c>
      <c r="F207" s="7" t="s">
        <v>2299</v>
      </c>
      <c r="G207" s="7" t="str">
        <f>VLOOKUP(E207,geoINDEX50!$A:$C,3,FALSE)</f>
        <v>#C7EBFA</v>
      </c>
      <c r="H207" s="74" t="s">
        <v>2789</v>
      </c>
      <c r="I207" s="95">
        <v>188</v>
      </c>
      <c r="J207" s="96" t="s">
        <v>2594</v>
      </c>
    </row>
    <row r="208" spans="1:10" s="10" customFormat="1" x14ac:dyDescent="0.25">
      <c r="A208" s="21" t="s">
        <v>418</v>
      </c>
      <c r="B208" s="7" t="s">
        <v>291</v>
      </c>
      <c r="C208" s="7" t="s">
        <v>290</v>
      </c>
      <c r="D208" s="7"/>
      <c r="E208" s="7">
        <v>314</v>
      </c>
      <c r="F208" s="7" t="s">
        <v>2299</v>
      </c>
      <c r="G208" s="7" t="str">
        <f>VLOOKUP(E208,geoINDEX50!$A:$C,3,FALSE)</f>
        <v>#C7EBFA</v>
      </c>
      <c r="H208" s="74" t="s">
        <v>2790</v>
      </c>
      <c r="I208" s="95">
        <v>189</v>
      </c>
      <c r="J208" s="96" t="s">
        <v>2594</v>
      </c>
    </row>
    <row r="209" spans="1:10" s="10" customFormat="1" x14ac:dyDescent="0.25">
      <c r="A209" s="21" t="s">
        <v>418</v>
      </c>
      <c r="B209" s="7" t="s">
        <v>292</v>
      </c>
      <c r="C209" s="7" t="s">
        <v>127</v>
      </c>
      <c r="D209" s="7"/>
      <c r="E209" s="7">
        <v>314</v>
      </c>
      <c r="F209" s="7" t="s">
        <v>2299</v>
      </c>
      <c r="G209" s="7" t="str">
        <f>VLOOKUP(E209,geoINDEX50!$A:$C,3,FALSE)</f>
        <v>#C7EBFA</v>
      </c>
      <c r="H209" s="74" t="s">
        <v>2791</v>
      </c>
      <c r="I209" s="95">
        <v>190</v>
      </c>
      <c r="J209" s="96" t="s">
        <v>2594</v>
      </c>
    </row>
    <row r="210" spans="1:10" s="10" customFormat="1" x14ac:dyDescent="0.25">
      <c r="A210" s="21" t="s">
        <v>418</v>
      </c>
      <c r="B210" s="7" t="s">
        <v>344</v>
      </c>
      <c r="C210" s="7" t="s">
        <v>54</v>
      </c>
      <c r="D210" s="7"/>
      <c r="E210" s="7">
        <v>109</v>
      </c>
      <c r="F210" s="7" t="s">
        <v>2299</v>
      </c>
      <c r="G210" s="7" t="str">
        <f>VLOOKUP(E210,geoINDEX50!$A:$C,3,FALSE)</f>
        <v>#A500A5</v>
      </c>
      <c r="H210" s="74" t="s">
        <v>2792</v>
      </c>
      <c r="I210" s="95">
        <v>191</v>
      </c>
      <c r="J210" s="96" t="s">
        <v>2594</v>
      </c>
    </row>
    <row r="211" spans="1:10" s="10" customFormat="1" x14ac:dyDescent="0.25">
      <c r="A211" s="21" t="s">
        <v>418</v>
      </c>
      <c r="B211" s="7" t="s">
        <v>294</v>
      </c>
      <c r="C211" s="7" t="s">
        <v>293</v>
      </c>
      <c r="D211" s="7"/>
      <c r="E211" s="7"/>
      <c r="F211" s="7"/>
      <c r="G211" s="7" t="s">
        <v>2346</v>
      </c>
      <c r="H211" s="74" t="s">
        <v>2793</v>
      </c>
      <c r="I211" s="95">
        <v>192</v>
      </c>
      <c r="J211" s="96" t="s">
        <v>2594</v>
      </c>
    </row>
    <row r="212" spans="1:10" s="10" customFormat="1" x14ac:dyDescent="0.25">
      <c r="A212" s="21" t="s">
        <v>418</v>
      </c>
      <c r="B212" s="7" t="s">
        <v>295</v>
      </c>
      <c r="C212" s="7" t="s">
        <v>126</v>
      </c>
      <c r="D212" s="7"/>
      <c r="E212" s="7">
        <v>198</v>
      </c>
      <c r="F212" s="7" t="s">
        <v>2298</v>
      </c>
      <c r="G212" s="7" t="str">
        <f>VLOOKUP(E212,geoINDEX50!$A:$C,3,FALSE)</f>
        <v>#9CC2BB</v>
      </c>
      <c r="H212" s="74" t="s">
        <v>2794</v>
      </c>
      <c r="I212" s="95">
        <v>193</v>
      </c>
      <c r="J212" s="96" t="s">
        <v>2594</v>
      </c>
    </row>
    <row r="213" spans="1:10" s="10" customFormat="1" x14ac:dyDescent="0.25">
      <c r="A213" s="21" t="s">
        <v>418</v>
      </c>
      <c r="B213" s="7" t="s">
        <v>297</v>
      </c>
      <c r="C213" s="7" t="s">
        <v>296</v>
      </c>
      <c r="D213" s="7"/>
      <c r="E213" s="7"/>
      <c r="F213" s="7"/>
      <c r="G213" s="7" t="s">
        <v>2346</v>
      </c>
      <c r="H213" s="74" t="s">
        <v>2795</v>
      </c>
      <c r="I213" s="95">
        <v>194</v>
      </c>
      <c r="J213" s="96" t="s">
        <v>2594</v>
      </c>
    </row>
    <row r="214" spans="1:10" s="10" customFormat="1" x14ac:dyDescent="0.25">
      <c r="A214" s="21" t="s">
        <v>418</v>
      </c>
      <c r="B214" s="7" t="s">
        <v>298</v>
      </c>
      <c r="C214" s="7" t="s">
        <v>124</v>
      </c>
      <c r="D214" s="7"/>
      <c r="E214" s="7">
        <v>261</v>
      </c>
      <c r="F214" s="7"/>
      <c r="G214" s="7" t="str">
        <f>VLOOKUP(E214,geoINDEX50!$A:$C,3,FALSE)</f>
        <v>#71CCD2</v>
      </c>
      <c r="H214" s="74" t="s">
        <v>2796</v>
      </c>
      <c r="I214" s="95">
        <v>195</v>
      </c>
      <c r="J214" s="96" t="s">
        <v>2594</v>
      </c>
    </row>
    <row r="215" spans="1:10" s="10" customFormat="1" x14ac:dyDescent="0.25">
      <c r="A215" s="21" t="s">
        <v>418</v>
      </c>
      <c r="B215" s="7" t="s">
        <v>299</v>
      </c>
      <c r="C215" s="7" t="s">
        <v>24</v>
      </c>
      <c r="D215" s="7"/>
      <c r="E215" s="7">
        <v>314</v>
      </c>
      <c r="F215" s="7" t="s">
        <v>2299</v>
      </c>
      <c r="G215" s="7" t="str">
        <f>VLOOKUP(E215,geoINDEX50!$A:$C,3,FALSE)</f>
        <v>#C7EBFA</v>
      </c>
      <c r="H215" s="74" t="s">
        <v>2797</v>
      </c>
      <c r="I215" s="95">
        <v>196</v>
      </c>
      <c r="J215" s="96" t="s">
        <v>2594</v>
      </c>
    </row>
    <row r="216" spans="1:10" s="10" customFormat="1" x14ac:dyDescent="0.25">
      <c r="A216" s="21" t="s">
        <v>418</v>
      </c>
      <c r="B216" s="7" t="s">
        <v>343</v>
      </c>
      <c r="C216" s="7" t="s">
        <v>300</v>
      </c>
      <c r="D216" s="7"/>
      <c r="E216" s="7">
        <v>261</v>
      </c>
      <c r="F216" s="7" t="s">
        <v>2298</v>
      </c>
      <c r="G216" s="7" t="str">
        <f>VLOOKUP(E216,geoINDEX50!$A:$C,3,FALSE)</f>
        <v>#71CCD2</v>
      </c>
      <c r="H216" s="74" t="s">
        <v>2798</v>
      </c>
      <c r="I216" s="95">
        <v>197</v>
      </c>
      <c r="J216" s="96" t="s">
        <v>2594</v>
      </c>
    </row>
    <row r="217" spans="1:10" s="10" customFormat="1" x14ac:dyDescent="0.25">
      <c r="A217" s="22" t="s">
        <v>418</v>
      </c>
      <c r="B217" s="8">
        <v>11</v>
      </c>
      <c r="C217" s="8" t="s">
        <v>201</v>
      </c>
      <c r="D217" s="8"/>
      <c r="E217" s="8"/>
      <c r="F217" s="8"/>
      <c r="G217" s="8" t="s">
        <v>2304</v>
      </c>
      <c r="H217" s="75" t="s">
        <v>2799</v>
      </c>
      <c r="I217" s="95">
        <v>198</v>
      </c>
      <c r="J217" s="96" t="s">
        <v>2594</v>
      </c>
    </row>
    <row r="218" spans="1:10" s="10" customFormat="1" x14ac:dyDescent="0.25">
      <c r="A218" s="21" t="s">
        <v>418</v>
      </c>
      <c r="B218" s="3" t="s">
        <v>355</v>
      </c>
      <c r="C218" s="3" t="s">
        <v>52</v>
      </c>
      <c r="D218" s="3"/>
      <c r="E218" s="3">
        <v>314</v>
      </c>
      <c r="F218" s="3" t="s">
        <v>2299</v>
      </c>
      <c r="G218" s="3" t="str">
        <f>VLOOKUP(E218,geoINDEX50!$A:$C,3,FALSE)</f>
        <v>#C7EBFA</v>
      </c>
      <c r="H218" s="68" t="s">
        <v>2800</v>
      </c>
      <c r="I218" s="95">
        <v>199</v>
      </c>
      <c r="J218" s="96" t="s">
        <v>2594</v>
      </c>
    </row>
    <row r="219" spans="1:10" s="10" customFormat="1" x14ac:dyDescent="0.25">
      <c r="A219" s="21" t="s">
        <v>418</v>
      </c>
      <c r="B219" s="7" t="s">
        <v>354</v>
      </c>
      <c r="C219" s="7" t="s">
        <v>121</v>
      </c>
      <c r="D219" s="7"/>
      <c r="E219" s="7">
        <v>260</v>
      </c>
      <c r="F219" s="7"/>
      <c r="G219" s="7" t="str">
        <f>VLOOKUP(E219,geoINDEX50!$A:$C,3,FALSE)</f>
        <v>#CFA6CF</v>
      </c>
      <c r="H219" s="74" t="s">
        <v>2801</v>
      </c>
      <c r="I219" s="95">
        <v>200</v>
      </c>
      <c r="J219" s="96" t="s">
        <v>2594</v>
      </c>
    </row>
    <row r="220" spans="1:10" s="10" customFormat="1" x14ac:dyDescent="0.25">
      <c r="A220" s="21" t="s">
        <v>418</v>
      </c>
      <c r="B220" s="7" t="s">
        <v>195</v>
      </c>
      <c r="C220" s="7" t="s">
        <v>119</v>
      </c>
      <c r="D220" s="7"/>
      <c r="E220" s="7">
        <v>257</v>
      </c>
      <c r="F220" s="7"/>
      <c r="G220" s="7" t="str">
        <f>VLOOKUP(E220,geoINDEX50!$A:$C,3,FALSE)</f>
        <v>#FACCD2</v>
      </c>
      <c r="H220" s="74" t="s">
        <v>2802</v>
      </c>
      <c r="I220" s="95">
        <v>201</v>
      </c>
      <c r="J220" s="96" t="s">
        <v>2594</v>
      </c>
    </row>
    <row r="221" spans="1:10" s="11" customFormat="1" x14ac:dyDescent="0.25">
      <c r="A221" s="21" t="s">
        <v>418</v>
      </c>
      <c r="B221" s="6" t="s">
        <v>356</v>
      </c>
      <c r="C221" s="6" t="s">
        <v>19</v>
      </c>
      <c r="D221" s="6" t="s">
        <v>340</v>
      </c>
      <c r="E221" s="6">
        <v>314</v>
      </c>
      <c r="F221" s="6" t="s">
        <v>2299</v>
      </c>
      <c r="G221" s="6" t="str">
        <f>VLOOKUP(E221,geoINDEX50!$A:$C,3,FALSE)</f>
        <v>#C7EBFA</v>
      </c>
      <c r="H221" s="73" t="s">
        <v>2803</v>
      </c>
      <c r="I221" s="95">
        <v>202</v>
      </c>
      <c r="J221" s="96" t="s">
        <v>2594</v>
      </c>
    </row>
    <row r="222" spans="1:10" s="10" customFormat="1" x14ac:dyDescent="0.25">
      <c r="A222" s="21" t="s">
        <v>418</v>
      </c>
      <c r="B222" s="6" t="s">
        <v>357</v>
      </c>
      <c r="C222" s="6" t="s">
        <v>117</v>
      </c>
      <c r="D222" s="6" t="s">
        <v>353</v>
      </c>
      <c r="E222" s="6">
        <v>314</v>
      </c>
      <c r="F222" s="6" t="s">
        <v>2299</v>
      </c>
      <c r="G222" s="6" t="str">
        <f>VLOOKUP(E222,geoINDEX50!$A:$C,3,FALSE)</f>
        <v>#C7EBFA</v>
      </c>
      <c r="H222" s="74" t="s">
        <v>2804</v>
      </c>
      <c r="I222" s="95">
        <v>203</v>
      </c>
      <c r="J222" s="96" t="s">
        <v>2594</v>
      </c>
    </row>
    <row r="223" spans="1:10" s="10" customFormat="1" x14ac:dyDescent="0.25">
      <c r="A223" s="21" t="s">
        <v>418</v>
      </c>
      <c r="B223" s="7" t="s">
        <v>358</v>
      </c>
      <c r="C223" s="7" t="s">
        <v>189</v>
      </c>
      <c r="D223" s="7"/>
      <c r="E223" s="7">
        <v>314</v>
      </c>
      <c r="F223" s="7" t="s">
        <v>2299</v>
      </c>
      <c r="G223" s="7" t="str">
        <f>VLOOKUP(E223,geoINDEX50!$A:$C,3,FALSE)</f>
        <v>#C7EBFA</v>
      </c>
      <c r="H223" s="74" t="s">
        <v>2805</v>
      </c>
      <c r="I223" s="95">
        <v>204</v>
      </c>
      <c r="J223" s="96" t="s">
        <v>2594</v>
      </c>
    </row>
    <row r="224" spans="1:10" s="10" customFormat="1" x14ac:dyDescent="0.25">
      <c r="A224" s="21" t="s">
        <v>418</v>
      </c>
      <c r="B224" s="7" t="s">
        <v>359</v>
      </c>
      <c r="C224" s="7" t="s">
        <v>190</v>
      </c>
      <c r="D224" s="7"/>
      <c r="E224" s="7"/>
      <c r="F224" s="7"/>
      <c r="G224" s="7" t="s">
        <v>2348</v>
      </c>
      <c r="H224" s="74" t="s">
        <v>2806</v>
      </c>
      <c r="I224" s="95">
        <v>205</v>
      </c>
      <c r="J224" s="96" t="s">
        <v>2594</v>
      </c>
    </row>
    <row r="225" spans="1:10" s="10" customFormat="1" x14ac:dyDescent="0.25">
      <c r="A225" s="22" t="s">
        <v>418</v>
      </c>
      <c r="B225" s="8">
        <v>12</v>
      </c>
      <c r="C225" s="8" t="s">
        <v>202</v>
      </c>
      <c r="D225" s="8"/>
      <c r="E225" s="8"/>
      <c r="F225" s="8"/>
      <c r="G225" s="8" t="s">
        <v>1428</v>
      </c>
      <c r="H225" s="75" t="s">
        <v>2807</v>
      </c>
      <c r="I225" s="95">
        <v>206</v>
      </c>
      <c r="J225" s="96" t="s">
        <v>2594</v>
      </c>
    </row>
    <row r="226" spans="1:10" s="10" customFormat="1" x14ac:dyDescent="0.25">
      <c r="A226" s="21" t="s">
        <v>418</v>
      </c>
      <c r="B226" s="7" t="s">
        <v>346</v>
      </c>
      <c r="C226" s="7" t="s">
        <v>41</v>
      </c>
      <c r="D226" s="7"/>
      <c r="E226" s="7">
        <v>314</v>
      </c>
      <c r="F226" s="7" t="s">
        <v>2299</v>
      </c>
      <c r="G226" s="7" t="str">
        <f>VLOOKUP(E226,geoINDEX50!$A:$C,3,FALSE)</f>
        <v>#C7EBFA</v>
      </c>
      <c r="H226" s="74" t="s">
        <v>2808</v>
      </c>
      <c r="I226" s="95">
        <v>207</v>
      </c>
      <c r="J226" s="96" t="s">
        <v>2594</v>
      </c>
    </row>
    <row r="227" spans="1:10" s="10" customFormat="1" x14ac:dyDescent="0.25">
      <c r="A227" s="21" t="s">
        <v>418</v>
      </c>
      <c r="B227" s="7" t="s">
        <v>347</v>
      </c>
      <c r="C227" s="7" t="s">
        <v>115</v>
      </c>
      <c r="D227" s="7"/>
      <c r="E227" s="7">
        <v>314</v>
      </c>
      <c r="F227" s="7" t="s">
        <v>2299</v>
      </c>
      <c r="G227" s="7" t="str">
        <f>VLOOKUP(E227,geoINDEX50!$A:$C,3,FALSE)</f>
        <v>#C7EBFA</v>
      </c>
      <c r="H227" s="74" t="s">
        <v>2809</v>
      </c>
      <c r="I227" s="95">
        <v>208</v>
      </c>
      <c r="J227" s="96" t="s">
        <v>2594</v>
      </c>
    </row>
    <row r="228" spans="1:10" s="10" customFormat="1" x14ac:dyDescent="0.25">
      <c r="A228" s="21" t="s">
        <v>418</v>
      </c>
      <c r="B228" s="7" t="s">
        <v>348</v>
      </c>
      <c r="C228" s="7" t="s">
        <v>194</v>
      </c>
      <c r="D228" s="7"/>
      <c r="E228" s="7"/>
      <c r="F228" s="7"/>
      <c r="G228" s="7" t="s">
        <v>1426</v>
      </c>
      <c r="H228" s="74" t="s">
        <v>2810</v>
      </c>
      <c r="I228" s="95">
        <v>209</v>
      </c>
      <c r="J228" s="96" t="s">
        <v>2594</v>
      </c>
    </row>
    <row r="229" spans="1:10" s="10" customFormat="1" x14ac:dyDescent="0.25">
      <c r="A229" s="21" t="s">
        <v>418</v>
      </c>
      <c r="B229" s="7" t="s">
        <v>349</v>
      </c>
      <c r="C229" s="7" t="s">
        <v>40</v>
      </c>
      <c r="D229" s="7"/>
      <c r="E229" s="7">
        <v>314</v>
      </c>
      <c r="F229" s="7" t="s">
        <v>2299</v>
      </c>
      <c r="G229" s="7" t="str">
        <f>VLOOKUP(E229,geoINDEX50!$A:$C,3,FALSE)</f>
        <v>#C7EBFA</v>
      </c>
      <c r="H229" s="74" t="s">
        <v>2811</v>
      </c>
      <c r="I229" s="95">
        <v>210</v>
      </c>
      <c r="J229" s="96" t="s">
        <v>2594</v>
      </c>
    </row>
    <row r="230" spans="1:10" s="10" customFormat="1" x14ac:dyDescent="0.25">
      <c r="A230" s="21" t="s">
        <v>418</v>
      </c>
      <c r="B230" s="7" t="s">
        <v>350</v>
      </c>
      <c r="C230" s="7" t="s">
        <v>18</v>
      </c>
      <c r="D230" s="7"/>
      <c r="E230" s="7">
        <v>314</v>
      </c>
      <c r="F230" s="7" t="s">
        <v>2299</v>
      </c>
      <c r="G230" s="7" t="str">
        <f>VLOOKUP(E230,geoINDEX50!$A:$C,3,FALSE)</f>
        <v>#C7EBFA</v>
      </c>
      <c r="H230" s="74" t="s">
        <v>2812</v>
      </c>
      <c r="I230" s="95">
        <v>211</v>
      </c>
      <c r="J230" s="96" t="s">
        <v>2594</v>
      </c>
    </row>
    <row r="231" spans="1:10" s="10" customFormat="1" x14ac:dyDescent="0.25">
      <c r="A231" s="21" t="s">
        <v>418</v>
      </c>
      <c r="B231" s="7" t="s">
        <v>199</v>
      </c>
      <c r="C231" s="7" t="s">
        <v>113</v>
      </c>
      <c r="D231" s="7"/>
      <c r="E231" s="7">
        <v>402</v>
      </c>
      <c r="F231" s="7" t="s">
        <v>2298</v>
      </c>
      <c r="G231" s="7" t="str">
        <f>VLOOKUP(E231,geoINDEX50!$A:$C,3,FALSE)</f>
        <v>#A4FF83</v>
      </c>
      <c r="H231" s="74" t="s">
        <v>2813</v>
      </c>
      <c r="I231" s="95">
        <v>212</v>
      </c>
      <c r="J231" s="96" t="s">
        <v>2594</v>
      </c>
    </row>
    <row r="232" spans="1:10" s="10" customFormat="1" x14ac:dyDescent="0.25">
      <c r="A232" s="21" t="s">
        <v>418</v>
      </c>
      <c r="B232" s="7" t="s">
        <v>237</v>
      </c>
      <c r="C232" s="7" t="s">
        <v>191</v>
      </c>
      <c r="D232" s="7"/>
      <c r="E232" s="7">
        <v>314</v>
      </c>
      <c r="F232" s="7" t="s">
        <v>2299</v>
      </c>
      <c r="G232" s="7" t="str">
        <f>VLOOKUP(E232,geoINDEX50!$A:$C,3,FALSE)</f>
        <v>#C7EBFA</v>
      </c>
      <c r="H232" s="74" t="s">
        <v>2814</v>
      </c>
      <c r="I232" s="95">
        <v>213</v>
      </c>
      <c r="J232" s="96" t="s">
        <v>2594</v>
      </c>
    </row>
    <row r="233" spans="1:10" s="11" customFormat="1" x14ac:dyDescent="0.25">
      <c r="A233" s="21" t="s">
        <v>418</v>
      </c>
      <c r="B233" s="6" t="s">
        <v>238</v>
      </c>
      <c r="C233" s="6" t="s">
        <v>108</v>
      </c>
      <c r="D233" s="6" t="s">
        <v>353</v>
      </c>
      <c r="E233" s="6">
        <v>314</v>
      </c>
      <c r="F233" s="6" t="s">
        <v>2299</v>
      </c>
      <c r="G233" s="6" t="str">
        <f>VLOOKUP(E233,geoINDEX50!$A:$C,3,FALSE)</f>
        <v>#C7EBFA</v>
      </c>
      <c r="H233" s="73" t="s">
        <v>2815</v>
      </c>
      <c r="I233" s="95">
        <v>214</v>
      </c>
      <c r="J233" s="96" t="s">
        <v>2594</v>
      </c>
    </row>
    <row r="234" spans="1:10" s="10" customFormat="1" x14ac:dyDescent="0.25">
      <c r="A234" s="21" t="s">
        <v>418</v>
      </c>
      <c r="B234" s="7" t="s">
        <v>239</v>
      </c>
      <c r="C234" s="7" t="s">
        <v>192</v>
      </c>
      <c r="D234" s="7"/>
      <c r="E234" s="7"/>
      <c r="F234" s="7"/>
      <c r="G234" s="7" t="s">
        <v>2349</v>
      </c>
      <c r="H234" s="74" t="s">
        <v>2816</v>
      </c>
      <c r="I234" s="95">
        <v>215</v>
      </c>
      <c r="J234" s="96" t="s">
        <v>2594</v>
      </c>
    </row>
    <row r="235" spans="1:10" s="10" customFormat="1" x14ac:dyDescent="0.25">
      <c r="A235" s="21" t="s">
        <v>418</v>
      </c>
      <c r="B235" s="7" t="s">
        <v>240</v>
      </c>
      <c r="C235" s="7" t="s">
        <v>193</v>
      </c>
      <c r="D235" s="7"/>
      <c r="E235" s="7"/>
      <c r="F235" s="7"/>
      <c r="G235" s="7" t="s">
        <v>2350</v>
      </c>
      <c r="H235" s="74" t="s">
        <v>2817</v>
      </c>
      <c r="I235" s="95">
        <v>216</v>
      </c>
      <c r="J235" s="96" t="s">
        <v>2594</v>
      </c>
    </row>
    <row r="236" spans="1:10" s="10" customFormat="1" x14ac:dyDescent="0.25">
      <c r="A236" s="21" t="s">
        <v>418</v>
      </c>
      <c r="B236" s="7" t="s">
        <v>352</v>
      </c>
      <c r="C236" s="7" t="s">
        <v>351</v>
      </c>
      <c r="D236" s="7"/>
      <c r="E236" s="7"/>
      <c r="F236" s="7"/>
      <c r="G236" s="7" t="s">
        <v>2351</v>
      </c>
      <c r="H236" s="74" t="s">
        <v>2818</v>
      </c>
      <c r="I236" s="95">
        <v>217</v>
      </c>
      <c r="J236" s="96" t="s">
        <v>2594</v>
      </c>
    </row>
    <row r="237" spans="1:10" s="10" customFormat="1" x14ac:dyDescent="0.25">
      <c r="A237" s="22" t="s">
        <v>418</v>
      </c>
      <c r="B237" s="8">
        <v>13</v>
      </c>
      <c r="C237" s="8" t="s">
        <v>203</v>
      </c>
      <c r="D237" s="8"/>
      <c r="E237" s="8"/>
      <c r="F237" s="8"/>
      <c r="G237" s="8" t="s">
        <v>1399</v>
      </c>
      <c r="H237" s="75" t="s">
        <v>2610</v>
      </c>
      <c r="I237" s="95">
        <v>218</v>
      </c>
      <c r="J237" s="96" t="s">
        <v>2594</v>
      </c>
    </row>
    <row r="238" spans="1:10" s="10" customFormat="1" x14ac:dyDescent="0.25">
      <c r="A238" s="21" t="s">
        <v>418</v>
      </c>
      <c r="B238" s="7" t="s">
        <v>241</v>
      </c>
      <c r="C238" s="7" t="s">
        <v>196</v>
      </c>
      <c r="D238" s="7"/>
      <c r="E238" s="7"/>
      <c r="F238" s="7"/>
      <c r="G238" s="7" t="s">
        <v>2324</v>
      </c>
      <c r="H238" s="74" t="s">
        <v>2819</v>
      </c>
      <c r="I238" s="95">
        <v>219</v>
      </c>
      <c r="J238" s="96" t="s">
        <v>2594</v>
      </c>
    </row>
    <row r="239" spans="1:10" s="10" customFormat="1" x14ac:dyDescent="0.25">
      <c r="A239" s="21" t="s">
        <v>418</v>
      </c>
      <c r="B239" s="7" t="s">
        <v>242</v>
      </c>
      <c r="C239" s="7" t="s">
        <v>3</v>
      </c>
      <c r="D239" s="7"/>
      <c r="E239" s="7">
        <v>107</v>
      </c>
      <c r="F239" s="7"/>
      <c r="G239" s="7" t="str">
        <f>VLOOKUP(E239,geoINDEX50!$A:$C,3,FALSE)</f>
        <v>#C73232</v>
      </c>
      <c r="H239" s="74" t="s">
        <v>2820</v>
      </c>
      <c r="I239" s="95">
        <v>220</v>
      </c>
      <c r="J239" s="96" t="s">
        <v>2594</v>
      </c>
    </row>
    <row r="240" spans="1:10" s="10" customFormat="1" x14ac:dyDescent="0.25">
      <c r="A240" s="21" t="s">
        <v>418</v>
      </c>
      <c r="B240" s="7" t="s">
        <v>243</v>
      </c>
      <c r="C240" s="7" t="s">
        <v>197</v>
      </c>
      <c r="D240" s="7"/>
      <c r="E240" s="7">
        <v>105</v>
      </c>
      <c r="F240" s="7"/>
      <c r="G240" s="7" t="str">
        <f>VLOOKUP(E240,geoINDEX50!$A:$C,3,FALSE)</f>
        <v>#E0E0AF</v>
      </c>
      <c r="H240" s="74" t="s">
        <v>2821</v>
      </c>
      <c r="I240" s="95">
        <v>221</v>
      </c>
      <c r="J240" s="96" t="s">
        <v>2594</v>
      </c>
    </row>
    <row r="241" spans="1:10" s="10" customFormat="1" x14ac:dyDescent="0.25">
      <c r="A241" s="21" t="s">
        <v>418</v>
      </c>
      <c r="B241" s="7" t="s">
        <v>244</v>
      </c>
      <c r="C241" s="7" t="s">
        <v>198</v>
      </c>
      <c r="D241" s="7"/>
      <c r="E241" s="7">
        <v>108</v>
      </c>
      <c r="F241" s="7"/>
      <c r="G241" s="7" t="str">
        <f>VLOOKUP(E241,geoINDEX50!$A:$C,3,FALSE)</f>
        <v>#9C7E5F</v>
      </c>
      <c r="H241" s="74" t="s">
        <v>2822</v>
      </c>
      <c r="I241" s="95">
        <v>222</v>
      </c>
      <c r="J241" s="96" t="s">
        <v>2594</v>
      </c>
    </row>
    <row r="242" spans="1:10" x14ac:dyDescent="0.25">
      <c r="A242" s="22" t="s">
        <v>418</v>
      </c>
      <c r="B242" s="8">
        <v>14</v>
      </c>
      <c r="C242" s="8" t="s">
        <v>360</v>
      </c>
      <c r="D242" s="4"/>
      <c r="E242" s="8"/>
      <c r="F242" s="8"/>
      <c r="G242" s="8" t="s">
        <v>2352</v>
      </c>
      <c r="H242" s="72" t="s">
        <v>2823</v>
      </c>
      <c r="I242" s="95">
        <v>223</v>
      </c>
      <c r="J242" s="96" t="s">
        <v>2594</v>
      </c>
    </row>
    <row r="243" spans="1:10" s="11" customFormat="1" x14ac:dyDescent="0.25">
      <c r="A243" s="21" t="s">
        <v>418</v>
      </c>
      <c r="B243" s="6" t="s">
        <v>361</v>
      </c>
      <c r="C243" s="6" t="s">
        <v>362</v>
      </c>
      <c r="D243" s="6" t="s">
        <v>353</v>
      </c>
      <c r="E243" s="6"/>
      <c r="F243" s="6"/>
      <c r="G243" s="6" t="s">
        <v>2353</v>
      </c>
      <c r="H243" s="73" t="s">
        <v>2824</v>
      </c>
      <c r="I243" s="95">
        <v>224</v>
      </c>
      <c r="J243" s="96" t="s">
        <v>2594</v>
      </c>
    </row>
    <row r="244" spans="1:10" x14ac:dyDescent="0.25">
      <c r="A244" s="21" t="s">
        <v>418</v>
      </c>
      <c r="B244" s="7" t="s">
        <v>363</v>
      </c>
      <c r="C244" s="2" t="s">
        <v>31</v>
      </c>
      <c r="D244" s="2"/>
      <c r="E244" s="2">
        <v>478</v>
      </c>
      <c r="F244" s="2" t="s">
        <v>2298</v>
      </c>
      <c r="G244" s="2" t="str">
        <f>VLOOKUP(E244,geoINDEX50!$A:$C,3,FALSE)</f>
        <v>#FACCD1</v>
      </c>
      <c r="H244" s="71" t="s">
        <v>2825</v>
      </c>
      <c r="I244" s="95">
        <v>225</v>
      </c>
      <c r="J244" s="96" t="s">
        <v>2594</v>
      </c>
    </row>
    <row r="245" spans="1:10" x14ac:dyDescent="0.25">
      <c r="A245" s="21" t="s">
        <v>418</v>
      </c>
      <c r="B245" s="7" t="s">
        <v>364</v>
      </c>
      <c r="C245" s="2" t="s">
        <v>17</v>
      </c>
      <c r="D245" s="2"/>
      <c r="E245" s="2">
        <v>480</v>
      </c>
      <c r="F245" s="2"/>
      <c r="G245" s="2" t="str">
        <f>VLOOKUP(E245,geoINDEX50!$A:$C,3,FALSE)</f>
        <v>#4A94FF</v>
      </c>
      <c r="H245" s="71" t="s">
        <v>2826</v>
      </c>
      <c r="I245" s="95">
        <v>226</v>
      </c>
      <c r="J245" s="96" t="s">
        <v>2594</v>
      </c>
    </row>
    <row r="246" spans="1:10" x14ac:dyDescent="0.25">
      <c r="A246" s="22" t="s">
        <v>418</v>
      </c>
      <c r="B246" s="4">
        <v>-888</v>
      </c>
      <c r="C246" s="4" t="s">
        <v>802</v>
      </c>
      <c r="D246" s="4"/>
      <c r="E246" s="4"/>
      <c r="F246" s="4"/>
      <c r="G246" s="4" t="s">
        <v>2306</v>
      </c>
      <c r="H246" s="72" t="s">
        <v>2613</v>
      </c>
      <c r="I246" s="95">
        <v>227</v>
      </c>
      <c r="J246" s="96" t="s">
        <v>2594</v>
      </c>
    </row>
    <row r="247" spans="1:10" ht="15.75" thickBot="1" x14ac:dyDescent="0.3">
      <c r="A247" s="23" t="s">
        <v>418</v>
      </c>
      <c r="B247" s="24">
        <v>-999</v>
      </c>
      <c r="C247" s="24" t="s">
        <v>414</v>
      </c>
      <c r="D247" s="24"/>
      <c r="E247" s="24"/>
      <c r="F247" s="24"/>
      <c r="G247" s="24" t="s">
        <v>2306</v>
      </c>
      <c r="H247" s="76" t="s">
        <v>2612</v>
      </c>
      <c r="I247" s="97">
        <v>228</v>
      </c>
      <c r="J247" s="98" t="s">
        <v>2594</v>
      </c>
    </row>
    <row r="248" spans="1:10" x14ac:dyDescent="0.25">
      <c r="A248" s="25" t="s">
        <v>422</v>
      </c>
      <c r="B248" s="26">
        <v>1</v>
      </c>
      <c r="C248" s="26" t="s">
        <v>423</v>
      </c>
      <c r="D248" s="26"/>
      <c r="E248" s="26"/>
      <c r="F248" s="26"/>
      <c r="G248" s="26" t="s">
        <v>2354</v>
      </c>
      <c r="H248" s="77" t="s">
        <v>2827</v>
      </c>
      <c r="I248" s="93">
        <v>1</v>
      </c>
      <c r="J248" s="100" t="s">
        <v>2596</v>
      </c>
    </row>
    <row r="249" spans="1:10" x14ac:dyDescent="0.25">
      <c r="A249" s="21" t="s">
        <v>422</v>
      </c>
      <c r="B249" s="2">
        <v>1.2</v>
      </c>
      <c r="C249" s="2" t="s">
        <v>425</v>
      </c>
      <c r="D249" s="2"/>
      <c r="E249" s="2"/>
      <c r="F249" s="2"/>
      <c r="G249" s="2" t="s">
        <v>2355</v>
      </c>
      <c r="H249" s="71" t="s">
        <v>2828</v>
      </c>
      <c r="I249" s="95">
        <v>2</v>
      </c>
      <c r="J249" s="101" t="s">
        <v>2596</v>
      </c>
    </row>
    <row r="250" spans="1:10" x14ac:dyDescent="0.25">
      <c r="A250" s="21" t="s">
        <v>422</v>
      </c>
      <c r="B250" s="2">
        <v>1.3</v>
      </c>
      <c r="C250" s="2" t="s">
        <v>426</v>
      </c>
      <c r="D250" s="2"/>
      <c r="E250" s="2"/>
      <c r="F250" s="2"/>
      <c r="G250" s="2" t="s">
        <v>2356</v>
      </c>
      <c r="H250" s="71" t="s">
        <v>2829</v>
      </c>
      <c r="I250" s="95">
        <v>3</v>
      </c>
      <c r="J250" s="101" t="s">
        <v>2596</v>
      </c>
    </row>
    <row r="251" spans="1:10" x14ac:dyDescent="0.25">
      <c r="A251" s="21" t="s">
        <v>422</v>
      </c>
      <c r="B251" s="2">
        <v>1.4</v>
      </c>
      <c r="C251" s="2" t="s">
        <v>522</v>
      </c>
      <c r="D251" s="2"/>
      <c r="E251" s="2"/>
      <c r="F251" s="2"/>
      <c r="G251" s="2" t="s">
        <v>2357</v>
      </c>
      <c r="H251" s="71" t="s">
        <v>2830</v>
      </c>
      <c r="I251" s="95">
        <v>4</v>
      </c>
      <c r="J251" s="101" t="s">
        <v>2596</v>
      </c>
    </row>
    <row r="252" spans="1:10" x14ac:dyDescent="0.25">
      <c r="A252" s="21" t="s">
        <v>422</v>
      </c>
      <c r="B252" s="2">
        <v>1.5</v>
      </c>
      <c r="C252" s="2" t="s">
        <v>427</v>
      </c>
      <c r="D252" s="2"/>
      <c r="E252" s="2"/>
      <c r="F252" s="2"/>
      <c r="G252" s="2" t="s">
        <v>2358</v>
      </c>
      <c r="H252" s="71" t="s">
        <v>2831</v>
      </c>
      <c r="I252" s="95">
        <v>5</v>
      </c>
      <c r="J252" s="101" t="s">
        <v>2596</v>
      </c>
    </row>
    <row r="253" spans="1:10" x14ac:dyDescent="0.25">
      <c r="A253" s="21" t="s">
        <v>422</v>
      </c>
      <c r="B253" s="2">
        <v>1.6</v>
      </c>
      <c r="C253" s="2" t="s">
        <v>499</v>
      </c>
      <c r="D253" s="2"/>
      <c r="E253" s="2"/>
      <c r="F253" s="2"/>
      <c r="G253" s="2" t="s">
        <v>2359</v>
      </c>
      <c r="H253" s="71" t="s">
        <v>2832</v>
      </c>
      <c r="I253" s="95">
        <v>6</v>
      </c>
      <c r="J253" s="101" t="s">
        <v>2596</v>
      </c>
    </row>
    <row r="254" spans="1:10" x14ac:dyDescent="0.25">
      <c r="A254" s="21" t="s">
        <v>422</v>
      </c>
      <c r="B254" s="2">
        <v>1.7</v>
      </c>
      <c r="C254" s="2" t="s">
        <v>500</v>
      </c>
      <c r="D254" s="2"/>
      <c r="E254" s="2"/>
      <c r="F254" s="2"/>
      <c r="G254" s="2" t="s">
        <v>2360</v>
      </c>
      <c r="H254" s="71" t="s">
        <v>2833</v>
      </c>
      <c r="I254" s="95">
        <v>7</v>
      </c>
      <c r="J254" s="101" t="s">
        <v>2596</v>
      </c>
    </row>
    <row r="255" spans="1:10" x14ac:dyDescent="0.25">
      <c r="A255" s="21" t="s">
        <v>422</v>
      </c>
      <c r="B255" s="2">
        <v>1.8</v>
      </c>
      <c r="C255" s="2" t="s">
        <v>516</v>
      </c>
      <c r="D255" s="2"/>
      <c r="E255" s="2"/>
      <c r="F255" s="2"/>
      <c r="G255" s="2" t="s">
        <v>2361</v>
      </c>
      <c r="H255" s="71" t="s">
        <v>2834</v>
      </c>
      <c r="I255" s="95">
        <v>8</v>
      </c>
      <c r="J255" s="101" t="s">
        <v>2596</v>
      </c>
    </row>
    <row r="256" spans="1:10" x14ac:dyDescent="0.25">
      <c r="A256" s="21" t="s">
        <v>422</v>
      </c>
      <c r="B256" s="2">
        <v>1.9</v>
      </c>
      <c r="C256" s="2" t="s">
        <v>525</v>
      </c>
      <c r="D256" s="2"/>
      <c r="E256" s="2"/>
      <c r="F256" s="2"/>
      <c r="G256" s="2" t="s">
        <v>2362</v>
      </c>
      <c r="H256" s="71" t="s">
        <v>2835</v>
      </c>
      <c r="I256" s="95">
        <v>9</v>
      </c>
      <c r="J256" s="101" t="s">
        <v>2596</v>
      </c>
    </row>
    <row r="257" spans="1:10" x14ac:dyDescent="0.25">
      <c r="A257" s="21" t="s">
        <v>422</v>
      </c>
      <c r="B257" s="5" t="s">
        <v>638</v>
      </c>
      <c r="C257" s="2" t="s">
        <v>526</v>
      </c>
      <c r="D257" s="2"/>
      <c r="E257" s="2"/>
      <c r="F257" s="2"/>
      <c r="G257" s="2" t="s">
        <v>2363</v>
      </c>
      <c r="H257" s="71" t="s">
        <v>2836</v>
      </c>
      <c r="I257" s="95">
        <v>10</v>
      </c>
      <c r="J257" s="101" t="s">
        <v>2596</v>
      </c>
    </row>
    <row r="258" spans="1:10" x14ac:dyDescent="0.25">
      <c r="A258" s="21" t="s">
        <v>422</v>
      </c>
      <c r="B258" s="2">
        <v>1.1100000000000001</v>
      </c>
      <c r="C258" s="2" t="s">
        <v>637</v>
      </c>
      <c r="D258" s="2"/>
      <c r="E258" s="2"/>
      <c r="F258" s="2"/>
      <c r="G258" s="2" t="s">
        <v>2364</v>
      </c>
      <c r="H258" s="71" t="s">
        <v>2837</v>
      </c>
      <c r="I258" s="95">
        <v>11</v>
      </c>
      <c r="J258" s="101" t="s">
        <v>2596</v>
      </c>
    </row>
    <row r="259" spans="1:10" x14ac:dyDescent="0.25">
      <c r="A259" s="21" t="s">
        <v>422</v>
      </c>
      <c r="B259" s="2">
        <v>1.1200000000000001</v>
      </c>
      <c r="C259" s="2" t="s">
        <v>424</v>
      </c>
      <c r="D259" s="2"/>
      <c r="E259" s="2"/>
      <c r="F259" s="2"/>
      <c r="G259" s="2" t="s">
        <v>2365</v>
      </c>
      <c r="H259" s="71" t="s">
        <v>2838</v>
      </c>
      <c r="I259" s="95">
        <v>12</v>
      </c>
      <c r="J259" s="101" t="s">
        <v>2596</v>
      </c>
    </row>
    <row r="260" spans="1:10" x14ac:dyDescent="0.25">
      <c r="A260" s="21" t="s">
        <v>422</v>
      </c>
      <c r="B260" s="2">
        <v>1.1299999999999999</v>
      </c>
      <c r="C260" s="2" t="s">
        <v>527</v>
      </c>
      <c r="D260" s="2"/>
      <c r="E260" s="2"/>
      <c r="F260" s="2"/>
      <c r="G260" s="2" t="s">
        <v>2366</v>
      </c>
      <c r="H260" s="71" t="s">
        <v>2839</v>
      </c>
      <c r="I260" s="95">
        <v>13</v>
      </c>
      <c r="J260" s="101" t="s">
        <v>2596</v>
      </c>
    </row>
    <row r="261" spans="1:10" x14ac:dyDescent="0.25">
      <c r="A261" s="21" t="s">
        <v>422</v>
      </c>
      <c r="B261" s="2">
        <v>1.1399999999999999</v>
      </c>
      <c r="C261" s="2" t="s">
        <v>528</v>
      </c>
      <c r="D261" s="2"/>
      <c r="E261" s="2"/>
      <c r="F261" s="2"/>
      <c r="G261" s="2" t="s">
        <v>2367</v>
      </c>
      <c r="H261" s="71" t="s">
        <v>2840</v>
      </c>
      <c r="I261" s="95">
        <v>14</v>
      </c>
      <c r="J261" s="101" t="s">
        <v>2596</v>
      </c>
    </row>
    <row r="262" spans="1:10" x14ac:dyDescent="0.25">
      <c r="A262" s="21" t="s">
        <v>422</v>
      </c>
      <c r="B262" s="2">
        <v>15.1</v>
      </c>
      <c r="C262" s="2" t="s">
        <v>675</v>
      </c>
      <c r="D262" s="2"/>
      <c r="E262" s="2"/>
      <c r="F262" s="2"/>
      <c r="G262" s="2" t="s">
        <v>3374</v>
      </c>
      <c r="H262" s="71" t="s">
        <v>2841</v>
      </c>
      <c r="I262" s="95">
        <v>15</v>
      </c>
      <c r="J262" s="101" t="s">
        <v>2596</v>
      </c>
    </row>
    <row r="263" spans="1:10" x14ac:dyDescent="0.25">
      <c r="A263" s="21" t="s">
        <v>422</v>
      </c>
      <c r="B263" s="2">
        <v>2</v>
      </c>
      <c r="C263" s="2" t="s">
        <v>428</v>
      </c>
      <c r="D263" s="2"/>
      <c r="E263" s="2"/>
      <c r="F263" s="2"/>
      <c r="G263" s="2" t="s">
        <v>2355</v>
      </c>
      <c r="H263" s="71" t="s">
        <v>2842</v>
      </c>
      <c r="I263" s="95">
        <v>16</v>
      </c>
      <c r="J263" s="101" t="s">
        <v>2596</v>
      </c>
    </row>
    <row r="264" spans="1:10" x14ac:dyDescent="0.25">
      <c r="A264" s="21" t="s">
        <v>422</v>
      </c>
      <c r="B264" s="2">
        <v>2.1</v>
      </c>
      <c r="C264" s="2" t="s">
        <v>429</v>
      </c>
      <c r="D264" s="2"/>
      <c r="E264" s="2"/>
      <c r="F264" s="2"/>
      <c r="G264" s="2" t="s">
        <v>2369</v>
      </c>
      <c r="H264" s="71" t="s">
        <v>2843</v>
      </c>
      <c r="I264" s="95">
        <v>17</v>
      </c>
      <c r="J264" s="101" t="s">
        <v>2596</v>
      </c>
    </row>
    <row r="265" spans="1:10" x14ac:dyDescent="0.25">
      <c r="A265" s="21" t="s">
        <v>422</v>
      </c>
      <c r="B265" s="2">
        <v>2.2999999999999998</v>
      </c>
      <c r="C265" s="2" t="s">
        <v>430</v>
      </c>
      <c r="D265" s="2"/>
      <c r="E265" s="2"/>
      <c r="F265" s="2"/>
      <c r="G265" s="2" t="s">
        <v>2370</v>
      </c>
      <c r="H265" s="71" t="s">
        <v>2844</v>
      </c>
      <c r="I265" s="95">
        <v>18</v>
      </c>
      <c r="J265" s="101" t="s">
        <v>2596</v>
      </c>
    </row>
    <row r="266" spans="1:10" x14ac:dyDescent="0.25">
      <c r="A266" s="21" t="s">
        <v>422</v>
      </c>
      <c r="B266" s="2">
        <v>2.4</v>
      </c>
      <c r="C266" s="2" t="s">
        <v>523</v>
      </c>
      <c r="D266" s="2"/>
      <c r="E266" s="2"/>
      <c r="F266" s="2"/>
      <c r="G266" s="2" t="s">
        <v>2371</v>
      </c>
      <c r="H266" s="71" t="s">
        <v>2845</v>
      </c>
      <c r="I266" s="95">
        <v>19</v>
      </c>
      <c r="J266" s="101" t="s">
        <v>2596</v>
      </c>
    </row>
    <row r="267" spans="1:10" x14ac:dyDescent="0.25">
      <c r="A267" s="21" t="s">
        <v>422</v>
      </c>
      <c r="B267" s="2">
        <v>2.5</v>
      </c>
      <c r="C267" s="2" t="s">
        <v>432</v>
      </c>
      <c r="D267" s="2"/>
      <c r="E267" s="2"/>
      <c r="F267" s="2"/>
      <c r="G267" s="2" t="s">
        <v>2372</v>
      </c>
      <c r="H267" s="71" t="s">
        <v>2846</v>
      </c>
      <c r="I267" s="95">
        <v>20</v>
      </c>
      <c r="J267" s="101" t="s">
        <v>2596</v>
      </c>
    </row>
    <row r="268" spans="1:10" x14ac:dyDescent="0.25">
      <c r="A268" s="21" t="s">
        <v>422</v>
      </c>
      <c r="B268" s="2">
        <v>2.6</v>
      </c>
      <c r="C268" s="2" t="s">
        <v>529</v>
      </c>
      <c r="D268" s="2"/>
      <c r="E268" s="2"/>
      <c r="F268" s="2"/>
      <c r="G268" s="2" t="s">
        <v>2373</v>
      </c>
      <c r="H268" s="71" t="s">
        <v>2847</v>
      </c>
      <c r="I268" s="95">
        <v>21</v>
      </c>
      <c r="J268" s="101" t="s">
        <v>2596</v>
      </c>
    </row>
    <row r="269" spans="1:10" x14ac:dyDescent="0.25">
      <c r="A269" s="21" t="s">
        <v>422</v>
      </c>
      <c r="B269" s="2">
        <v>2.7</v>
      </c>
      <c r="C269" s="2" t="s">
        <v>530</v>
      </c>
      <c r="D269" s="2"/>
      <c r="E269" s="2"/>
      <c r="F269" s="2"/>
      <c r="G269" s="2" t="s">
        <v>2374</v>
      </c>
      <c r="H269" s="71" t="s">
        <v>2848</v>
      </c>
      <c r="I269" s="95">
        <v>22</v>
      </c>
      <c r="J269" s="101" t="s">
        <v>2596</v>
      </c>
    </row>
    <row r="270" spans="1:10" x14ac:dyDescent="0.25">
      <c r="A270" s="21" t="s">
        <v>422</v>
      </c>
      <c r="B270" s="2">
        <v>2.8</v>
      </c>
      <c r="C270" s="2" t="s">
        <v>431</v>
      </c>
      <c r="D270" s="2"/>
      <c r="E270" s="2"/>
      <c r="F270" s="2"/>
      <c r="G270" s="2" t="s">
        <v>2375</v>
      </c>
      <c r="H270" s="71" t="s">
        <v>2849</v>
      </c>
      <c r="I270" s="95">
        <v>23</v>
      </c>
      <c r="J270" s="101" t="s">
        <v>2596</v>
      </c>
    </row>
    <row r="271" spans="1:10" x14ac:dyDescent="0.25">
      <c r="A271" s="21" t="s">
        <v>422</v>
      </c>
      <c r="B271" s="2">
        <v>2.9</v>
      </c>
      <c r="C271" s="2" t="s">
        <v>531</v>
      </c>
      <c r="D271" s="2"/>
      <c r="E271" s="2"/>
      <c r="F271" s="2"/>
      <c r="G271" s="2" t="s">
        <v>2376</v>
      </c>
      <c r="H271" s="71" t="s">
        <v>2850</v>
      </c>
      <c r="I271" s="95">
        <v>24</v>
      </c>
      <c r="J271" s="101" t="s">
        <v>2596</v>
      </c>
    </row>
    <row r="272" spans="1:10" x14ac:dyDescent="0.25">
      <c r="A272" s="21" t="s">
        <v>422</v>
      </c>
      <c r="B272" s="5" t="s">
        <v>640</v>
      </c>
      <c r="C272" s="2" t="s">
        <v>532</v>
      </c>
      <c r="D272" s="2"/>
      <c r="E272" s="2"/>
      <c r="F272" s="2"/>
      <c r="G272" s="2" t="s">
        <v>2377</v>
      </c>
      <c r="H272" s="71" t="s">
        <v>2851</v>
      </c>
      <c r="I272" s="95">
        <v>25</v>
      </c>
      <c r="J272" s="101" t="s">
        <v>2596</v>
      </c>
    </row>
    <row r="273" spans="1:10" x14ac:dyDescent="0.25">
      <c r="A273" s="21" t="s">
        <v>422</v>
      </c>
      <c r="B273" s="2">
        <v>2.11</v>
      </c>
      <c r="C273" s="2" t="s">
        <v>639</v>
      </c>
      <c r="D273" s="2"/>
      <c r="E273" s="2"/>
      <c r="F273" s="2"/>
      <c r="G273" s="2" t="s">
        <v>2378</v>
      </c>
      <c r="H273" s="71" t="s">
        <v>2852</v>
      </c>
      <c r="I273" s="95">
        <v>26</v>
      </c>
      <c r="J273" s="101" t="s">
        <v>2596</v>
      </c>
    </row>
    <row r="274" spans="1:10" x14ac:dyDescent="0.25">
      <c r="A274" s="21" t="s">
        <v>422</v>
      </c>
      <c r="B274" s="2">
        <v>2.12</v>
      </c>
      <c r="C274" s="2" t="s">
        <v>533</v>
      </c>
      <c r="D274" s="2"/>
      <c r="E274" s="2"/>
      <c r="F274" s="2"/>
      <c r="G274" s="2" t="s">
        <v>2379</v>
      </c>
      <c r="H274" s="71" t="s">
        <v>2853</v>
      </c>
      <c r="I274" s="95">
        <v>27</v>
      </c>
      <c r="J274" s="101" t="s">
        <v>2596</v>
      </c>
    </row>
    <row r="275" spans="1:10" x14ac:dyDescent="0.25">
      <c r="A275" s="21" t="s">
        <v>422</v>
      </c>
      <c r="B275" s="2">
        <v>2.13</v>
      </c>
      <c r="C275" s="2" t="s">
        <v>534</v>
      </c>
      <c r="D275" s="2"/>
      <c r="E275" s="2"/>
      <c r="F275" s="2"/>
      <c r="G275" s="2" t="s">
        <v>2380</v>
      </c>
      <c r="H275" s="71" t="s">
        <v>2854</v>
      </c>
      <c r="I275" s="95">
        <v>28</v>
      </c>
      <c r="J275" s="101" t="s">
        <v>2596</v>
      </c>
    </row>
    <row r="276" spans="1:10" x14ac:dyDescent="0.25">
      <c r="A276" s="21" t="s">
        <v>422</v>
      </c>
      <c r="B276" s="2">
        <v>2.14</v>
      </c>
      <c r="C276" s="2" t="s">
        <v>535</v>
      </c>
      <c r="D276" s="2"/>
      <c r="E276" s="2"/>
      <c r="F276" s="2"/>
      <c r="G276" s="2" t="s">
        <v>2367</v>
      </c>
      <c r="H276" s="71" t="s">
        <v>2855</v>
      </c>
      <c r="I276" s="95">
        <v>29</v>
      </c>
      <c r="J276" s="101" t="s">
        <v>2596</v>
      </c>
    </row>
    <row r="277" spans="1:10" x14ac:dyDescent="0.25">
      <c r="A277" s="21" t="s">
        <v>422</v>
      </c>
      <c r="B277" s="2">
        <v>15.2</v>
      </c>
      <c r="C277" s="2" t="s">
        <v>676</v>
      </c>
      <c r="D277" s="2"/>
      <c r="E277" s="2"/>
      <c r="F277" s="2"/>
      <c r="G277" s="2" t="s">
        <v>2381</v>
      </c>
      <c r="H277" s="71" t="s">
        <v>2856</v>
      </c>
      <c r="I277" s="95">
        <v>30</v>
      </c>
      <c r="J277" s="101" t="s">
        <v>2596</v>
      </c>
    </row>
    <row r="278" spans="1:10" x14ac:dyDescent="0.25">
      <c r="A278" s="21" t="s">
        <v>422</v>
      </c>
      <c r="B278" s="2">
        <v>3</v>
      </c>
      <c r="C278" s="2" t="s">
        <v>433</v>
      </c>
      <c r="D278" s="2"/>
      <c r="E278" s="2"/>
      <c r="F278" s="2"/>
      <c r="G278" s="2" t="s">
        <v>2356</v>
      </c>
      <c r="H278" s="71" t="s">
        <v>2857</v>
      </c>
      <c r="I278" s="95">
        <v>31</v>
      </c>
      <c r="J278" s="101" t="s">
        <v>2596</v>
      </c>
    </row>
    <row r="279" spans="1:10" x14ac:dyDescent="0.25">
      <c r="A279" s="21" t="s">
        <v>422</v>
      </c>
      <c r="B279" s="2">
        <v>3.1</v>
      </c>
      <c r="C279" s="2" t="s">
        <v>434</v>
      </c>
      <c r="D279" s="2"/>
      <c r="E279" s="2"/>
      <c r="F279" s="2"/>
      <c r="G279" s="2" t="s">
        <v>2382</v>
      </c>
      <c r="H279" s="71" t="s">
        <v>2858</v>
      </c>
      <c r="I279" s="95">
        <v>32</v>
      </c>
      <c r="J279" s="101" t="s">
        <v>2596</v>
      </c>
    </row>
    <row r="280" spans="1:10" x14ac:dyDescent="0.25">
      <c r="A280" s="21" t="s">
        <v>422</v>
      </c>
      <c r="B280" s="2">
        <v>3.2</v>
      </c>
      <c r="C280" s="2" t="s">
        <v>435</v>
      </c>
      <c r="D280" s="2"/>
      <c r="E280" s="2"/>
      <c r="F280" s="2"/>
      <c r="G280" s="2" t="s">
        <v>2383</v>
      </c>
      <c r="H280" s="71" t="s">
        <v>2859</v>
      </c>
      <c r="I280" s="95">
        <v>33</v>
      </c>
      <c r="J280" s="101" t="s">
        <v>2596</v>
      </c>
    </row>
    <row r="281" spans="1:10" x14ac:dyDescent="0.25">
      <c r="A281" s="21" t="s">
        <v>422</v>
      </c>
      <c r="B281" s="2">
        <v>3.4</v>
      </c>
      <c r="C281" s="2" t="s">
        <v>524</v>
      </c>
      <c r="D281" s="2"/>
      <c r="E281" s="2"/>
      <c r="F281" s="2"/>
      <c r="G281" s="2" t="s">
        <v>2384</v>
      </c>
      <c r="H281" s="71" t="s">
        <v>2860</v>
      </c>
      <c r="I281" s="95">
        <v>34</v>
      </c>
      <c r="J281" s="101" t="s">
        <v>2596</v>
      </c>
    </row>
    <row r="282" spans="1:10" x14ac:dyDescent="0.25">
      <c r="A282" s="21" t="s">
        <v>422</v>
      </c>
      <c r="B282" s="2">
        <v>3.5</v>
      </c>
      <c r="C282" s="2" t="s">
        <v>437</v>
      </c>
      <c r="D282" s="2"/>
      <c r="E282" s="2"/>
      <c r="F282" s="2"/>
      <c r="G282" s="2" t="s">
        <v>2385</v>
      </c>
      <c r="H282" s="71" t="s">
        <v>2861</v>
      </c>
      <c r="I282" s="95">
        <v>35</v>
      </c>
      <c r="J282" s="101" t="s">
        <v>2596</v>
      </c>
    </row>
    <row r="283" spans="1:10" x14ac:dyDescent="0.25">
      <c r="A283" s="21" t="s">
        <v>422</v>
      </c>
      <c r="B283" s="2">
        <v>3.6</v>
      </c>
      <c r="C283" s="2" t="s">
        <v>438</v>
      </c>
      <c r="D283" s="2"/>
      <c r="E283" s="2"/>
      <c r="F283" s="2"/>
      <c r="G283" s="2" t="s">
        <v>2386</v>
      </c>
      <c r="H283" s="71" t="s">
        <v>2862</v>
      </c>
      <c r="I283" s="95">
        <v>36</v>
      </c>
      <c r="J283" s="101" t="s">
        <v>2596</v>
      </c>
    </row>
    <row r="284" spans="1:10" x14ac:dyDescent="0.25">
      <c r="A284" s="21" t="s">
        <v>422</v>
      </c>
      <c r="B284" s="2">
        <v>3.7</v>
      </c>
      <c r="C284" s="2" t="s">
        <v>439</v>
      </c>
      <c r="D284" s="2"/>
      <c r="E284" s="2"/>
      <c r="F284" s="2"/>
      <c r="G284" s="2" t="s">
        <v>2387</v>
      </c>
      <c r="H284" s="71" t="s">
        <v>2863</v>
      </c>
      <c r="I284" s="95">
        <v>37</v>
      </c>
      <c r="J284" s="101" t="s">
        <v>2596</v>
      </c>
    </row>
    <row r="285" spans="1:10" x14ac:dyDescent="0.25">
      <c r="A285" s="21" t="s">
        <v>422</v>
      </c>
      <c r="B285" s="2">
        <v>3.8</v>
      </c>
      <c r="C285" s="2" t="s">
        <v>436</v>
      </c>
      <c r="D285" s="2"/>
      <c r="E285" s="2"/>
      <c r="F285" s="2"/>
      <c r="G285" s="2" t="s">
        <v>2388</v>
      </c>
      <c r="H285" s="71" t="s">
        <v>2864</v>
      </c>
      <c r="I285" s="95">
        <v>38</v>
      </c>
      <c r="J285" s="101" t="s">
        <v>2596</v>
      </c>
    </row>
    <row r="286" spans="1:10" x14ac:dyDescent="0.25">
      <c r="A286" s="21" t="s">
        <v>422</v>
      </c>
      <c r="B286" s="2">
        <v>3.9</v>
      </c>
      <c r="C286" s="2" t="s">
        <v>536</v>
      </c>
      <c r="D286" s="2"/>
      <c r="E286" s="2"/>
      <c r="F286" s="2"/>
      <c r="G286" s="2" t="s">
        <v>2389</v>
      </c>
      <c r="H286" s="71" t="s">
        <v>2865</v>
      </c>
      <c r="I286" s="95">
        <v>39</v>
      </c>
      <c r="J286" s="101" t="s">
        <v>2596</v>
      </c>
    </row>
    <row r="287" spans="1:10" x14ac:dyDescent="0.25">
      <c r="A287" s="21" t="s">
        <v>422</v>
      </c>
      <c r="B287" s="5" t="s">
        <v>641</v>
      </c>
      <c r="C287" s="2" t="s">
        <v>537</v>
      </c>
      <c r="D287" s="2"/>
      <c r="E287" s="2"/>
      <c r="F287" s="2"/>
      <c r="G287" s="2" t="s">
        <v>2390</v>
      </c>
      <c r="H287" s="71" t="s">
        <v>2866</v>
      </c>
      <c r="I287" s="95">
        <v>40</v>
      </c>
      <c r="J287" s="101" t="s">
        <v>2596</v>
      </c>
    </row>
    <row r="288" spans="1:10" x14ac:dyDescent="0.25">
      <c r="A288" s="21" t="s">
        <v>422</v>
      </c>
      <c r="B288" s="2">
        <v>3.11</v>
      </c>
      <c r="C288" s="2" t="s">
        <v>642</v>
      </c>
      <c r="D288" s="2"/>
      <c r="E288" s="2"/>
      <c r="F288" s="2"/>
      <c r="G288" s="2" t="s">
        <v>2391</v>
      </c>
      <c r="H288" s="71" t="s">
        <v>2867</v>
      </c>
      <c r="I288" s="95">
        <v>41</v>
      </c>
      <c r="J288" s="101" t="s">
        <v>2596</v>
      </c>
    </row>
    <row r="289" spans="1:10" x14ac:dyDescent="0.25">
      <c r="A289" s="21" t="s">
        <v>422</v>
      </c>
      <c r="B289" s="2">
        <v>3.12</v>
      </c>
      <c r="C289" s="2" t="s">
        <v>538</v>
      </c>
      <c r="D289" s="2"/>
      <c r="E289" s="2"/>
      <c r="F289" s="2"/>
      <c r="G289" s="2" t="s">
        <v>2392</v>
      </c>
      <c r="H289" s="71" t="s">
        <v>2868</v>
      </c>
      <c r="I289" s="95">
        <v>42</v>
      </c>
      <c r="J289" s="101" t="s">
        <v>2596</v>
      </c>
    </row>
    <row r="290" spans="1:10" x14ac:dyDescent="0.25">
      <c r="A290" s="21" t="s">
        <v>422</v>
      </c>
      <c r="B290" s="2">
        <v>3.13</v>
      </c>
      <c r="C290" s="2" t="s">
        <v>539</v>
      </c>
      <c r="D290" s="2"/>
      <c r="E290" s="2"/>
      <c r="F290" s="2"/>
      <c r="G290" s="2" t="s">
        <v>2366</v>
      </c>
      <c r="H290" s="71" t="s">
        <v>2869</v>
      </c>
      <c r="I290" s="95">
        <v>43</v>
      </c>
      <c r="J290" s="101" t="s">
        <v>2596</v>
      </c>
    </row>
    <row r="291" spans="1:10" x14ac:dyDescent="0.25">
      <c r="A291" s="21" t="s">
        <v>422</v>
      </c>
      <c r="B291" s="2">
        <v>3.14</v>
      </c>
      <c r="C291" s="2" t="s">
        <v>540</v>
      </c>
      <c r="D291" s="2"/>
      <c r="E291" s="2"/>
      <c r="F291" s="2"/>
      <c r="G291" s="2" t="s">
        <v>2393</v>
      </c>
      <c r="H291" s="71" t="s">
        <v>2870</v>
      </c>
      <c r="I291" s="95">
        <v>44</v>
      </c>
      <c r="J291" s="101" t="s">
        <v>2596</v>
      </c>
    </row>
    <row r="292" spans="1:10" x14ac:dyDescent="0.25">
      <c r="A292" s="21" t="s">
        <v>422</v>
      </c>
      <c r="B292" s="2">
        <v>15.3</v>
      </c>
      <c r="C292" s="2" t="s">
        <v>677</v>
      </c>
      <c r="D292" s="2"/>
      <c r="E292" s="2"/>
      <c r="F292" s="2"/>
      <c r="G292" s="2" t="s">
        <v>2394</v>
      </c>
      <c r="H292" s="71" t="s">
        <v>2871</v>
      </c>
      <c r="I292" s="95">
        <v>45</v>
      </c>
      <c r="J292" s="101" t="s">
        <v>2596</v>
      </c>
    </row>
    <row r="293" spans="1:10" x14ac:dyDescent="0.25">
      <c r="A293" s="21" t="s">
        <v>422</v>
      </c>
      <c r="B293" s="2">
        <v>4</v>
      </c>
      <c r="C293" s="2" t="s">
        <v>440</v>
      </c>
      <c r="D293" s="2"/>
      <c r="E293" s="2"/>
      <c r="F293" s="2"/>
      <c r="G293" s="2" t="s">
        <v>2357</v>
      </c>
      <c r="H293" s="71" t="s">
        <v>2872</v>
      </c>
      <c r="I293" s="95">
        <v>46</v>
      </c>
      <c r="J293" s="101" t="s">
        <v>2596</v>
      </c>
    </row>
    <row r="294" spans="1:10" x14ac:dyDescent="0.25">
      <c r="A294" s="21" t="s">
        <v>422</v>
      </c>
      <c r="B294" s="2">
        <v>4.0999999999999996</v>
      </c>
      <c r="C294" s="2" t="s">
        <v>441</v>
      </c>
      <c r="D294" s="2"/>
      <c r="E294" s="2"/>
      <c r="F294" s="2"/>
      <c r="G294" s="2" t="s">
        <v>2395</v>
      </c>
      <c r="H294" s="71" t="s">
        <v>2873</v>
      </c>
      <c r="I294" s="95">
        <v>47</v>
      </c>
      <c r="J294" s="101" t="s">
        <v>2596</v>
      </c>
    </row>
    <row r="295" spans="1:10" x14ac:dyDescent="0.25">
      <c r="A295" s="21" t="s">
        <v>422</v>
      </c>
      <c r="B295" s="2">
        <v>4.2</v>
      </c>
      <c r="C295" s="2" t="s">
        <v>443</v>
      </c>
      <c r="D295" s="2"/>
      <c r="E295" s="2"/>
      <c r="F295" s="2"/>
      <c r="G295" s="2" t="s">
        <v>2396</v>
      </c>
      <c r="H295" s="71" t="s">
        <v>2874</v>
      </c>
      <c r="I295" s="95">
        <v>48</v>
      </c>
      <c r="J295" s="101" t="s">
        <v>2596</v>
      </c>
    </row>
    <row r="296" spans="1:10" x14ac:dyDescent="0.25">
      <c r="A296" s="21" t="s">
        <v>422</v>
      </c>
      <c r="B296" s="2">
        <v>4.3</v>
      </c>
      <c r="C296" s="2" t="s">
        <v>444</v>
      </c>
      <c r="D296" s="2"/>
      <c r="E296" s="2"/>
      <c r="F296" s="2"/>
      <c r="G296" s="2" t="s">
        <v>2397</v>
      </c>
      <c r="H296" s="71" t="s">
        <v>2875</v>
      </c>
      <c r="I296" s="95">
        <v>49</v>
      </c>
      <c r="J296" s="101" t="s">
        <v>2596</v>
      </c>
    </row>
    <row r="297" spans="1:10" x14ac:dyDescent="0.25">
      <c r="A297" s="21" t="s">
        <v>422</v>
      </c>
      <c r="B297" s="2">
        <v>4.5</v>
      </c>
      <c r="C297" s="2" t="s">
        <v>445</v>
      </c>
      <c r="D297" s="2"/>
      <c r="E297" s="2"/>
      <c r="F297" s="2"/>
      <c r="G297" s="2" t="s">
        <v>2398</v>
      </c>
      <c r="H297" s="71" t="s">
        <v>2876</v>
      </c>
      <c r="I297" s="95">
        <v>50</v>
      </c>
      <c r="J297" s="101" t="s">
        <v>2596</v>
      </c>
    </row>
    <row r="298" spans="1:10" x14ac:dyDescent="0.25">
      <c r="A298" s="21" t="s">
        <v>422</v>
      </c>
      <c r="B298" s="2">
        <v>4.5999999999999996</v>
      </c>
      <c r="C298" s="2" t="s">
        <v>446</v>
      </c>
      <c r="D298" s="2"/>
      <c r="E298" s="2"/>
      <c r="F298" s="2"/>
      <c r="G298" s="2" t="s">
        <v>2399</v>
      </c>
      <c r="H298" s="71" t="s">
        <v>2877</v>
      </c>
      <c r="I298" s="95">
        <v>51</v>
      </c>
      <c r="J298" s="101" t="s">
        <v>2596</v>
      </c>
    </row>
    <row r="299" spans="1:10" x14ac:dyDescent="0.25">
      <c r="A299" s="21" t="s">
        <v>422</v>
      </c>
      <c r="B299" s="2">
        <v>4.7</v>
      </c>
      <c r="C299" s="2" t="s">
        <v>447</v>
      </c>
      <c r="D299" s="2"/>
      <c r="E299" s="2"/>
      <c r="F299" s="2"/>
      <c r="G299" s="2" t="s">
        <v>2400</v>
      </c>
      <c r="H299" s="71" t="s">
        <v>2878</v>
      </c>
      <c r="I299" s="95">
        <v>52</v>
      </c>
      <c r="J299" s="101" t="s">
        <v>2596</v>
      </c>
    </row>
    <row r="300" spans="1:10" x14ac:dyDescent="0.25">
      <c r="A300" s="21" t="s">
        <v>422</v>
      </c>
      <c r="B300" s="2">
        <v>4.8</v>
      </c>
      <c r="C300" s="2" t="s">
        <v>541</v>
      </c>
      <c r="D300" s="2"/>
      <c r="E300" s="2"/>
      <c r="F300" s="2"/>
      <c r="G300" s="2" t="s">
        <v>2401</v>
      </c>
      <c r="H300" s="71" t="s">
        <v>2879</v>
      </c>
      <c r="I300" s="95">
        <v>53</v>
      </c>
      <c r="J300" s="101" t="s">
        <v>2596</v>
      </c>
    </row>
    <row r="301" spans="1:10" x14ac:dyDescent="0.25">
      <c r="A301" s="21" t="s">
        <v>422</v>
      </c>
      <c r="B301" s="2">
        <v>4.9000000000000004</v>
      </c>
      <c r="C301" s="2" t="s">
        <v>542</v>
      </c>
      <c r="D301" s="2"/>
      <c r="E301" s="2"/>
      <c r="F301" s="2"/>
      <c r="G301" s="2" t="s">
        <v>2402</v>
      </c>
      <c r="H301" s="71" t="s">
        <v>2880</v>
      </c>
      <c r="I301" s="95">
        <v>54</v>
      </c>
      <c r="J301" s="101" t="s">
        <v>2596</v>
      </c>
    </row>
    <row r="302" spans="1:10" x14ac:dyDescent="0.25">
      <c r="A302" s="21" t="s">
        <v>422</v>
      </c>
      <c r="B302" s="5" t="s">
        <v>643</v>
      </c>
      <c r="C302" s="2" t="s">
        <v>543</v>
      </c>
      <c r="D302" s="2"/>
      <c r="E302" s="2"/>
      <c r="F302" s="2"/>
      <c r="G302" s="2" t="s">
        <v>2403</v>
      </c>
      <c r="H302" s="71" t="s">
        <v>2881</v>
      </c>
      <c r="I302" s="95">
        <v>55</v>
      </c>
      <c r="J302" s="101" t="s">
        <v>2596</v>
      </c>
    </row>
    <row r="303" spans="1:10" x14ac:dyDescent="0.25">
      <c r="A303" s="21" t="s">
        <v>422</v>
      </c>
      <c r="B303" s="2">
        <v>4.1100000000000003</v>
      </c>
      <c r="C303" s="2" t="s">
        <v>644</v>
      </c>
      <c r="D303" s="2"/>
      <c r="E303" s="2"/>
      <c r="F303" s="2"/>
      <c r="G303" s="2" t="s">
        <v>2404</v>
      </c>
      <c r="H303" s="71" t="s">
        <v>2882</v>
      </c>
      <c r="I303" s="95">
        <v>56</v>
      </c>
      <c r="J303" s="101" t="s">
        <v>2596</v>
      </c>
    </row>
    <row r="304" spans="1:10" x14ac:dyDescent="0.25">
      <c r="A304" s="21" t="s">
        <v>422</v>
      </c>
      <c r="B304" s="2">
        <v>4.12</v>
      </c>
      <c r="C304" s="2" t="s">
        <v>442</v>
      </c>
      <c r="D304" s="2"/>
      <c r="E304" s="2"/>
      <c r="F304" s="2"/>
      <c r="G304" s="2" t="s">
        <v>2365</v>
      </c>
      <c r="H304" s="71" t="s">
        <v>2883</v>
      </c>
      <c r="I304" s="95">
        <v>57</v>
      </c>
      <c r="J304" s="101" t="s">
        <v>2596</v>
      </c>
    </row>
    <row r="305" spans="1:10" x14ac:dyDescent="0.25">
      <c r="A305" s="21" t="s">
        <v>422</v>
      </c>
      <c r="B305" s="2">
        <v>4.13</v>
      </c>
      <c r="C305" s="2" t="s">
        <v>544</v>
      </c>
      <c r="D305" s="2"/>
      <c r="E305" s="2"/>
      <c r="F305" s="2"/>
      <c r="G305" s="2" t="s">
        <v>2405</v>
      </c>
      <c r="H305" s="71" t="s">
        <v>2884</v>
      </c>
      <c r="I305" s="95">
        <v>58</v>
      </c>
      <c r="J305" s="101" t="s">
        <v>2596</v>
      </c>
    </row>
    <row r="306" spans="1:10" x14ac:dyDescent="0.25">
      <c r="A306" s="21" t="s">
        <v>422</v>
      </c>
      <c r="B306" s="2">
        <v>4.1399999999999997</v>
      </c>
      <c r="C306" s="2" t="s">
        <v>545</v>
      </c>
      <c r="D306" s="2"/>
      <c r="E306" s="2"/>
      <c r="F306" s="2"/>
      <c r="G306" s="2" t="s">
        <v>2406</v>
      </c>
      <c r="H306" s="71" t="s">
        <v>2885</v>
      </c>
      <c r="I306" s="95">
        <v>59</v>
      </c>
      <c r="J306" s="101" t="s">
        <v>2596</v>
      </c>
    </row>
    <row r="307" spans="1:10" x14ac:dyDescent="0.25">
      <c r="A307" s="21" t="s">
        <v>422</v>
      </c>
      <c r="B307" s="2">
        <v>15.4</v>
      </c>
      <c r="C307" s="2" t="s">
        <v>678</v>
      </c>
      <c r="D307" s="2"/>
      <c r="E307" s="2"/>
      <c r="F307" s="2"/>
      <c r="G307" s="2" t="s">
        <v>2407</v>
      </c>
      <c r="H307" s="71" t="s">
        <v>2886</v>
      </c>
      <c r="I307" s="95">
        <v>60</v>
      </c>
      <c r="J307" s="101" t="s">
        <v>2596</v>
      </c>
    </row>
    <row r="308" spans="1:10" x14ac:dyDescent="0.25">
      <c r="A308" s="21" t="s">
        <v>422</v>
      </c>
      <c r="B308" s="2">
        <v>5</v>
      </c>
      <c r="C308" s="2" t="s">
        <v>448</v>
      </c>
      <c r="D308" s="2"/>
      <c r="E308" s="2"/>
      <c r="F308" s="2"/>
      <c r="G308" s="2" t="s">
        <v>2358</v>
      </c>
      <c r="H308" s="71" t="s">
        <v>2887</v>
      </c>
      <c r="I308" s="95">
        <v>61</v>
      </c>
      <c r="J308" s="101" t="s">
        <v>2596</v>
      </c>
    </row>
    <row r="309" spans="1:10" x14ac:dyDescent="0.25">
      <c r="A309" s="21" t="s">
        <v>422</v>
      </c>
      <c r="B309" s="2">
        <v>5.0999999999999996</v>
      </c>
      <c r="C309" s="2" t="s">
        <v>546</v>
      </c>
      <c r="D309" s="2"/>
      <c r="E309" s="2"/>
      <c r="F309" s="2"/>
      <c r="G309" s="2" t="s">
        <v>2408</v>
      </c>
      <c r="H309" s="71" t="s">
        <v>2888</v>
      </c>
      <c r="I309" s="95">
        <v>62</v>
      </c>
      <c r="J309" s="101" t="s">
        <v>2596</v>
      </c>
    </row>
    <row r="310" spans="1:10" x14ac:dyDescent="0.25">
      <c r="A310" s="21" t="s">
        <v>422</v>
      </c>
      <c r="B310" s="2">
        <v>5.2</v>
      </c>
      <c r="C310" s="2" t="s">
        <v>547</v>
      </c>
      <c r="D310" s="2"/>
      <c r="E310" s="2"/>
      <c r="F310" s="2"/>
      <c r="G310" s="2" t="s">
        <v>2409</v>
      </c>
      <c r="H310" s="71" t="s">
        <v>2889</v>
      </c>
      <c r="I310" s="95">
        <v>63</v>
      </c>
      <c r="J310" s="101" t="s">
        <v>2596</v>
      </c>
    </row>
    <row r="311" spans="1:10" x14ac:dyDescent="0.25">
      <c r="A311" s="21" t="s">
        <v>422</v>
      </c>
      <c r="B311" s="2">
        <v>5.3</v>
      </c>
      <c r="C311" s="2" t="s">
        <v>449</v>
      </c>
      <c r="D311" s="2"/>
      <c r="E311" s="2"/>
      <c r="F311" s="2"/>
      <c r="G311" s="2" t="s">
        <v>2410</v>
      </c>
      <c r="H311" s="71" t="s">
        <v>2890</v>
      </c>
      <c r="I311" s="95">
        <v>64</v>
      </c>
      <c r="J311" s="101" t="s">
        <v>2596</v>
      </c>
    </row>
    <row r="312" spans="1:10" x14ac:dyDescent="0.25">
      <c r="A312" s="21" t="s">
        <v>422</v>
      </c>
      <c r="B312" s="2">
        <v>5.4</v>
      </c>
      <c r="C312" s="2" t="s">
        <v>554</v>
      </c>
      <c r="D312" s="2"/>
      <c r="E312" s="2"/>
      <c r="F312" s="2"/>
      <c r="G312" s="2" t="s">
        <v>2411</v>
      </c>
      <c r="H312" s="71" t="s">
        <v>2891</v>
      </c>
      <c r="I312" s="95">
        <v>65</v>
      </c>
      <c r="J312" s="101" t="s">
        <v>2596</v>
      </c>
    </row>
    <row r="313" spans="1:10" x14ac:dyDescent="0.25">
      <c r="A313" s="21" t="s">
        <v>422</v>
      </c>
      <c r="B313" s="2">
        <v>5.6</v>
      </c>
      <c r="C313" s="2" t="s">
        <v>451</v>
      </c>
      <c r="D313" s="2"/>
      <c r="E313" s="2"/>
      <c r="F313" s="2"/>
      <c r="G313" s="2" t="s">
        <v>2412</v>
      </c>
      <c r="H313" s="71" t="s">
        <v>2892</v>
      </c>
      <c r="I313" s="95">
        <v>66</v>
      </c>
      <c r="J313" s="101" t="s">
        <v>2596</v>
      </c>
    </row>
    <row r="314" spans="1:10" x14ac:dyDescent="0.25">
      <c r="A314" s="21" t="s">
        <v>422</v>
      </c>
      <c r="B314" s="2">
        <v>5.7</v>
      </c>
      <c r="C314" s="2" t="s">
        <v>548</v>
      </c>
      <c r="D314" s="2"/>
      <c r="E314" s="2"/>
      <c r="F314" s="2"/>
      <c r="G314" s="2" t="s">
        <v>2413</v>
      </c>
      <c r="H314" s="71" t="s">
        <v>2893</v>
      </c>
      <c r="I314" s="95">
        <v>67</v>
      </c>
      <c r="J314" s="101" t="s">
        <v>2596</v>
      </c>
    </row>
    <row r="315" spans="1:10" x14ac:dyDescent="0.25">
      <c r="A315" s="21" t="s">
        <v>422</v>
      </c>
      <c r="B315" s="2">
        <v>5.8</v>
      </c>
      <c r="C315" s="2" t="s">
        <v>450</v>
      </c>
      <c r="D315" s="2"/>
      <c r="E315" s="2"/>
      <c r="F315" s="2"/>
      <c r="G315" s="2" t="s">
        <v>2414</v>
      </c>
      <c r="H315" s="71" t="s">
        <v>2894</v>
      </c>
      <c r="I315" s="95">
        <v>68</v>
      </c>
      <c r="J315" s="101" t="s">
        <v>2596</v>
      </c>
    </row>
    <row r="316" spans="1:10" x14ac:dyDescent="0.25">
      <c r="A316" s="21" t="s">
        <v>422</v>
      </c>
      <c r="B316" s="2">
        <v>5.9</v>
      </c>
      <c r="C316" s="2" t="s">
        <v>549</v>
      </c>
      <c r="D316" s="2"/>
      <c r="E316" s="2"/>
      <c r="F316" s="2"/>
      <c r="G316" s="2" t="s">
        <v>2415</v>
      </c>
      <c r="H316" s="71" t="s">
        <v>2895</v>
      </c>
      <c r="I316" s="95">
        <v>69</v>
      </c>
      <c r="J316" s="101" t="s">
        <v>2596</v>
      </c>
    </row>
    <row r="317" spans="1:10" x14ac:dyDescent="0.25">
      <c r="A317" s="21" t="s">
        <v>422</v>
      </c>
      <c r="B317" s="5" t="s">
        <v>645</v>
      </c>
      <c r="C317" s="2" t="s">
        <v>550</v>
      </c>
      <c r="D317" s="2"/>
      <c r="E317" s="2"/>
      <c r="F317" s="2"/>
      <c r="G317" s="2" t="s">
        <v>2416</v>
      </c>
      <c r="H317" s="71" t="s">
        <v>2896</v>
      </c>
      <c r="I317" s="95">
        <v>70</v>
      </c>
      <c r="J317" s="101" t="s">
        <v>2596</v>
      </c>
    </row>
    <row r="318" spans="1:10" x14ac:dyDescent="0.25">
      <c r="A318" s="21" t="s">
        <v>422</v>
      </c>
      <c r="B318" s="2">
        <v>5.1100000000000003</v>
      </c>
      <c r="C318" s="2" t="s">
        <v>646</v>
      </c>
      <c r="D318" s="2"/>
      <c r="E318" s="2"/>
      <c r="F318" s="2"/>
      <c r="G318" s="2" t="s">
        <v>2364</v>
      </c>
      <c r="H318" s="71" t="s">
        <v>2897</v>
      </c>
      <c r="I318" s="95">
        <v>71</v>
      </c>
      <c r="J318" s="101" t="s">
        <v>2596</v>
      </c>
    </row>
    <row r="319" spans="1:10" x14ac:dyDescent="0.25">
      <c r="A319" s="21" t="s">
        <v>422</v>
      </c>
      <c r="B319" s="2">
        <v>5.12</v>
      </c>
      <c r="C319" s="2" t="s">
        <v>551</v>
      </c>
      <c r="D319" s="2"/>
      <c r="E319" s="2"/>
      <c r="F319" s="2"/>
      <c r="G319" s="2" t="s">
        <v>2417</v>
      </c>
      <c r="H319" s="71" t="s">
        <v>2898</v>
      </c>
      <c r="I319" s="95">
        <v>72</v>
      </c>
      <c r="J319" s="101" t="s">
        <v>2596</v>
      </c>
    </row>
    <row r="320" spans="1:10" x14ac:dyDescent="0.25">
      <c r="A320" s="21" t="s">
        <v>422</v>
      </c>
      <c r="B320" s="2">
        <v>5.13</v>
      </c>
      <c r="C320" s="2" t="s">
        <v>552</v>
      </c>
      <c r="D320" s="2"/>
      <c r="E320" s="2"/>
      <c r="F320" s="2"/>
      <c r="G320" s="2" t="s">
        <v>2418</v>
      </c>
      <c r="H320" s="71" t="s">
        <v>2899</v>
      </c>
      <c r="I320" s="95">
        <v>73</v>
      </c>
      <c r="J320" s="101" t="s">
        <v>2596</v>
      </c>
    </row>
    <row r="321" spans="1:10" x14ac:dyDescent="0.25">
      <c r="A321" s="21" t="s">
        <v>422</v>
      </c>
      <c r="B321" s="2">
        <v>5.14</v>
      </c>
      <c r="C321" s="2" t="s">
        <v>553</v>
      </c>
      <c r="D321" s="2"/>
      <c r="E321" s="2"/>
      <c r="F321" s="2"/>
      <c r="G321" s="2" t="s">
        <v>2419</v>
      </c>
      <c r="H321" s="71" t="s">
        <v>2900</v>
      </c>
      <c r="I321" s="95">
        <v>74</v>
      </c>
      <c r="J321" s="101" t="s">
        <v>2596</v>
      </c>
    </row>
    <row r="322" spans="1:10" x14ac:dyDescent="0.25">
      <c r="A322" s="21" t="s">
        <v>422</v>
      </c>
      <c r="B322" s="2">
        <v>15.5</v>
      </c>
      <c r="C322" s="2" t="s">
        <v>679</v>
      </c>
      <c r="D322" s="2"/>
      <c r="E322" s="2"/>
      <c r="F322" s="2"/>
      <c r="G322" s="2" t="s">
        <v>2420</v>
      </c>
      <c r="H322" s="71" t="s">
        <v>2901</v>
      </c>
      <c r="I322" s="95">
        <v>75</v>
      </c>
      <c r="J322" s="101" t="s">
        <v>2596</v>
      </c>
    </row>
    <row r="323" spans="1:10" x14ac:dyDescent="0.25">
      <c r="A323" s="21" t="s">
        <v>422</v>
      </c>
      <c r="B323" s="2">
        <v>6</v>
      </c>
      <c r="C323" s="2" t="s">
        <v>452</v>
      </c>
      <c r="D323" s="2"/>
      <c r="E323" s="2"/>
      <c r="F323" s="2"/>
      <c r="G323" s="2" t="s">
        <v>2359</v>
      </c>
      <c r="H323" s="71" t="s">
        <v>2902</v>
      </c>
      <c r="I323" s="95">
        <v>76</v>
      </c>
      <c r="J323" s="101" t="s">
        <v>2596</v>
      </c>
    </row>
    <row r="324" spans="1:10" x14ac:dyDescent="0.25">
      <c r="A324" s="21" t="s">
        <v>422</v>
      </c>
      <c r="B324" s="2">
        <v>6.1</v>
      </c>
      <c r="C324" s="2" t="s">
        <v>555</v>
      </c>
      <c r="D324" s="2"/>
      <c r="E324" s="2"/>
      <c r="F324" s="2"/>
      <c r="G324" s="2" t="s">
        <v>2421</v>
      </c>
      <c r="H324" s="71" t="s">
        <v>2903</v>
      </c>
      <c r="I324" s="95">
        <v>77</v>
      </c>
      <c r="J324" s="101" t="s">
        <v>2596</v>
      </c>
    </row>
    <row r="325" spans="1:10" x14ac:dyDescent="0.25">
      <c r="A325" s="21" t="s">
        <v>422</v>
      </c>
      <c r="B325" s="2">
        <v>6.2</v>
      </c>
      <c r="C325" s="2" t="s">
        <v>556</v>
      </c>
      <c r="D325" s="2"/>
      <c r="E325" s="2"/>
      <c r="F325" s="2"/>
      <c r="G325" s="2" t="s">
        <v>2422</v>
      </c>
      <c r="H325" s="71" t="s">
        <v>2904</v>
      </c>
      <c r="I325" s="95">
        <v>78</v>
      </c>
      <c r="J325" s="101" t="s">
        <v>2596</v>
      </c>
    </row>
    <row r="326" spans="1:10" x14ac:dyDescent="0.25">
      <c r="A326" s="21" t="s">
        <v>422</v>
      </c>
      <c r="B326" s="2">
        <v>6.3</v>
      </c>
      <c r="C326" s="2" t="s">
        <v>453</v>
      </c>
      <c r="D326" s="2"/>
      <c r="E326" s="2"/>
      <c r="F326" s="2"/>
      <c r="G326" s="2" t="s">
        <v>2423</v>
      </c>
      <c r="H326" s="71" t="s">
        <v>2905</v>
      </c>
      <c r="I326" s="95">
        <v>79</v>
      </c>
      <c r="J326" s="101" t="s">
        <v>2596</v>
      </c>
    </row>
    <row r="327" spans="1:10" x14ac:dyDescent="0.25">
      <c r="A327" s="21" t="s">
        <v>422</v>
      </c>
      <c r="B327" s="2">
        <v>6.4</v>
      </c>
      <c r="C327" s="2" t="s">
        <v>557</v>
      </c>
      <c r="D327" s="2"/>
      <c r="E327" s="2"/>
      <c r="F327" s="2"/>
      <c r="G327" s="2" t="s">
        <v>2424</v>
      </c>
      <c r="H327" s="71" t="s">
        <v>2906</v>
      </c>
      <c r="I327" s="95">
        <v>80</v>
      </c>
      <c r="J327" s="101" t="s">
        <v>2596</v>
      </c>
    </row>
    <row r="328" spans="1:10" x14ac:dyDescent="0.25">
      <c r="A328" s="21" t="s">
        <v>422</v>
      </c>
      <c r="B328" s="2">
        <v>6.5</v>
      </c>
      <c r="C328" s="2" t="s">
        <v>455</v>
      </c>
      <c r="D328" s="2"/>
      <c r="E328" s="2"/>
      <c r="F328" s="2"/>
      <c r="G328" s="2" t="s">
        <v>2425</v>
      </c>
      <c r="H328" s="71" t="s">
        <v>2907</v>
      </c>
      <c r="I328" s="95">
        <v>81</v>
      </c>
      <c r="J328" s="101" t="s">
        <v>2596</v>
      </c>
    </row>
    <row r="329" spans="1:10" x14ac:dyDescent="0.25">
      <c r="A329" s="21" t="s">
        <v>422</v>
      </c>
      <c r="B329" s="2">
        <v>6.7</v>
      </c>
      <c r="C329" s="2" t="s">
        <v>558</v>
      </c>
      <c r="D329" s="2"/>
      <c r="E329" s="2"/>
      <c r="F329" s="2"/>
      <c r="G329" s="2" t="s">
        <v>2426</v>
      </c>
      <c r="H329" s="71" t="s">
        <v>2908</v>
      </c>
      <c r="I329" s="95">
        <v>82</v>
      </c>
      <c r="J329" s="101" t="s">
        <v>2596</v>
      </c>
    </row>
    <row r="330" spans="1:10" x14ac:dyDescent="0.25">
      <c r="A330" s="21" t="s">
        <v>422</v>
      </c>
      <c r="B330" s="2">
        <v>6.8</v>
      </c>
      <c r="C330" s="2" t="s">
        <v>454</v>
      </c>
      <c r="D330" s="2"/>
      <c r="E330" s="2"/>
      <c r="F330" s="2"/>
      <c r="G330" s="2" t="s">
        <v>2427</v>
      </c>
      <c r="H330" s="71" t="s">
        <v>2909</v>
      </c>
      <c r="I330" s="95">
        <v>83</v>
      </c>
      <c r="J330" s="101" t="s">
        <v>2596</v>
      </c>
    </row>
    <row r="331" spans="1:10" x14ac:dyDescent="0.25">
      <c r="A331" s="21" t="s">
        <v>422</v>
      </c>
      <c r="B331" s="2">
        <v>6.9</v>
      </c>
      <c r="C331" s="2" t="s">
        <v>456</v>
      </c>
      <c r="D331" s="2"/>
      <c r="E331" s="2"/>
      <c r="F331" s="2"/>
      <c r="G331" s="2" t="s">
        <v>2428</v>
      </c>
      <c r="H331" s="71" t="s">
        <v>2910</v>
      </c>
      <c r="I331" s="95">
        <v>84</v>
      </c>
      <c r="J331" s="101" t="s">
        <v>2596</v>
      </c>
    </row>
    <row r="332" spans="1:10" x14ac:dyDescent="0.25">
      <c r="A332" s="21" t="s">
        <v>422</v>
      </c>
      <c r="B332" s="5" t="s">
        <v>647</v>
      </c>
      <c r="C332" s="2" t="s">
        <v>559</v>
      </c>
      <c r="D332" s="2"/>
      <c r="E332" s="2"/>
      <c r="F332" s="2"/>
      <c r="G332" s="2" t="s">
        <v>2363</v>
      </c>
      <c r="H332" s="71" t="s">
        <v>2911</v>
      </c>
      <c r="I332" s="95">
        <v>85</v>
      </c>
      <c r="J332" s="101" t="s">
        <v>2596</v>
      </c>
    </row>
    <row r="333" spans="1:10" x14ac:dyDescent="0.25">
      <c r="A333" s="21" t="s">
        <v>422</v>
      </c>
      <c r="B333" s="2">
        <v>6.11</v>
      </c>
      <c r="C333" s="2" t="s">
        <v>648</v>
      </c>
      <c r="D333" s="2"/>
      <c r="E333" s="2"/>
      <c r="F333" s="2"/>
      <c r="G333" s="2" t="s">
        <v>2429</v>
      </c>
      <c r="H333" s="71" t="s">
        <v>2912</v>
      </c>
      <c r="I333" s="95">
        <v>86</v>
      </c>
      <c r="J333" s="101" t="s">
        <v>2596</v>
      </c>
    </row>
    <row r="334" spans="1:10" x14ac:dyDescent="0.25">
      <c r="A334" s="21" t="s">
        <v>422</v>
      </c>
      <c r="B334" s="2">
        <v>6.12</v>
      </c>
      <c r="C334" s="2" t="s">
        <v>560</v>
      </c>
      <c r="D334" s="2"/>
      <c r="E334" s="2"/>
      <c r="F334" s="2"/>
      <c r="G334" s="2" t="s">
        <v>2430</v>
      </c>
      <c r="H334" s="71" t="s">
        <v>2913</v>
      </c>
      <c r="I334" s="95">
        <v>87</v>
      </c>
      <c r="J334" s="101" t="s">
        <v>2596</v>
      </c>
    </row>
    <row r="335" spans="1:10" x14ac:dyDescent="0.25">
      <c r="A335" s="21" t="s">
        <v>422</v>
      </c>
      <c r="B335" s="2">
        <v>6.13</v>
      </c>
      <c r="C335" s="2" t="s">
        <v>561</v>
      </c>
      <c r="D335" s="2"/>
      <c r="E335" s="2"/>
      <c r="F335" s="2"/>
      <c r="G335" s="2" t="s">
        <v>2431</v>
      </c>
      <c r="H335" s="71" t="s">
        <v>2914</v>
      </c>
      <c r="I335" s="95">
        <v>88</v>
      </c>
      <c r="J335" s="101" t="s">
        <v>2596</v>
      </c>
    </row>
    <row r="336" spans="1:10" x14ac:dyDescent="0.25">
      <c r="A336" s="21" t="s">
        <v>422</v>
      </c>
      <c r="B336" s="2">
        <v>6.14</v>
      </c>
      <c r="C336" s="2" t="s">
        <v>562</v>
      </c>
      <c r="D336" s="2"/>
      <c r="E336" s="2"/>
      <c r="F336" s="2"/>
      <c r="G336" s="2" t="s">
        <v>2432</v>
      </c>
      <c r="H336" s="71" t="s">
        <v>2915</v>
      </c>
      <c r="I336" s="95">
        <v>89</v>
      </c>
      <c r="J336" s="101" t="s">
        <v>2596</v>
      </c>
    </row>
    <row r="337" spans="1:10" x14ac:dyDescent="0.25">
      <c r="A337" s="21" t="s">
        <v>422</v>
      </c>
      <c r="B337" s="2">
        <v>15.6</v>
      </c>
      <c r="C337" s="2" t="s">
        <v>680</v>
      </c>
      <c r="D337" s="2"/>
      <c r="E337" s="2"/>
      <c r="F337" s="2"/>
      <c r="G337" s="2" t="s">
        <v>2433</v>
      </c>
      <c r="H337" s="71" t="s">
        <v>2916</v>
      </c>
      <c r="I337" s="95">
        <v>90</v>
      </c>
      <c r="J337" s="101" t="s">
        <v>2596</v>
      </c>
    </row>
    <row r="338" spans="1:10" x14ac:dyDescent="0.25">
      <c r="A338" s="21" t="s">
        <v>422</v>
      </c>
      <c r="B338" s="2">
        <v>7</v>
      </c>
      <c r="C338" s="2" t="s">
        <v>457</v>
      </c>
      <c r="D338" s="2"/>
      <c r="E338" s="2"/>
      <c r="F338" s="2"/>
      <c r="G338" s="2" t="s">
        <v>2360</v>
      </c>
      <c r="H338" s="71" t="s">
        <v>2917</v>
      </c>
      <c r="I338" s="95">
        <v>91</v>
      </c>
      <c r="J338" s="101" t="s">
        <v>2596</v>
      </c>
    </row>
    <row r="339" spans="1:10" x14ac:dyDescent="0.25">
      <c r="A339" s="21" t="s">
        <v>422</v>
      </c>
      <c r="B339" s="2">
        <v>7.1</v>
      </c>
      <c r="C339" s="2" t="s">
        <v>458</v>
      </c>
      <c r="D339" s="2"/>
      <c r="E339" s="2"/>
      <c r="F339" s="2"/>
      <c r="G339" s="2" t="s">
        <v>2434</v>
      </c>
      <c r="H339" s="71" t="s">
        <v>2918</v>
      </c>
      <c r="I339" s="95">
        <v>92</v>
      </c>
      <c r="J339" s="101" t="s">
        <v>2596</v>
      </c>
    </row>
    <row r="340" spans="1:10" x14ac:dyDescent="0.25">
      <c r="A340" s="21" t="s">
        <v>422</v>
      </c>
      <c r="B340" s="2">
        <v>7.2</v>
      </c>
      <c r="C340" s="2" t="s">
        <v>563</v>
      </c>
      <c r="D340" s="2"/>
      <c r="E340" s="2"/>
      <c r="F340" s="2"/>
      <c r="G340" s="2" t="s">
        <v>2435</v>
      </c>
      <c r="H340" s="71" t="s">
        <v>2919</v>
      </c>
      <c r="I340" s="95">
        <v>93</v>
      </c>
      <c r="J340" s="101" t="s">
        <v>2596</v>
      </c>
    </row>
    <row r="341" spans="1:10" x14ac:dyDescent="0.25">
      <c r="A341" s="21" t="s">
        <v>422</v>
      </c>
      <c r="B341" s="2">
        <v>7.3</v>
      </c>
      <c r="C341" s="2" t="s">
        <v>564</v>
      </c>
      <c r="D341" s="2"/>
      <c r="E341" s="2"/>
      <c r="F341" s="2"/>
      <c r="G341" s="2" t="s">
        <v>2436</v>
      </c>
      <c r="H341" s="71" t="s">
        <v>2920</v>
      </c>
      <c r="I341" s="95">
        <v>94</v>
      </c>
      <c r="J341" s="101" t="s">
        <v>2596</v>
      </c>
    </row>
    <row r="342" spans="1:10" x14ac:dyDescent="0.25">
      <c r="A342" s="21" t="s">
        <v>422</v>
      </c>
      <c r="B342" s="2">
        <v>7.4</v>
      </c>
      <c r="C342" s="2" t="s">
        <v>565</v>
      </c>
      <c r="D342" s="2"/>
      <c r="E342" s="2"/>
      <c r="F342" s="2"/>
      <c r="G342" s="2" t="s">
        <v>2437</v>
      </c>
      <c r="H342" s="71" t="s">
        <v>2921</v>
      </c>
      <c r="I342" s="95">
        <v>95</v>
      </c>
      <c r="J342" s="101" t="s">
        <v>2596</v>
      </c>
    </row>
    <row r="343" spans="1:10" x14ac:dyDescent="0.25">
      <c r="A343" s="21" t="s">
        <v>422</v>
      </c>
      <c r="B343" s="2">
        <v>7.5</v>
      </c>
      <c r="C343" s="2" t="s">
        <v>460</v>
      </c>
      <c r="D343" s="2"/>
      <c r="E343" s="2"/>
      <c r="F343" s="2"/>
      <c r="G343" s="2" t="s">
        <v>2438</v>
      </c>
      <c r="H343" s="71" t="s">
        <v>2922</v>
      </c>
      <c r="I343" s="95">
        <v>96</v>
      </c>
      <c r="J343" s="101" t="s">
        <v>2596</v>
      </c>
    </row>
    <row r="344" spans="1:10" x14ac:dyDescent="0.25">
      <c r="A344" s="21" t="s">
        <v>422</v>
      </c>
      <c r="B344" s="2">
        <v>7.6</v>
      </c>
      <c r="C344" s="2" t="s">
        <v>461</v>
      </c>
      <c r="D344" s="2"/>
      <c r="E344" s="2"/>
      <c r="F344" s="2"/>
      <c r="G344" s="2" t="s">
        <v>2439</v>
      </c>
      <c r="H344" s="71" t="s">
        <v>2923</v>
      </c>
      <c r="I344" s="95">
        <v>97</v>
      </c>
      <c r="J344" s="101" t="s">
        <v>2596</v>
      </c>
    </row>
    <row r="345" spans="1:10" x14ac:dyDescent="0.25">
      <c r="A345" s="21" t="s">
        <v>422</v>
      </c>
      <c r="B345" s="2">
        <v>7.8</v>
      </c>
      <c r="C345" s="2" t="s">
        <v>462</v>
      </c>
      <c r="D345" s="2"/>
      <c r="E345" s="2"/>
      <c r="F345" s="2"/>
      <c r="G345" s="2" t="s">
        <v>2440</v>
      </c>
      <c r="H345" s="71" t="s">
        <v>2924</v>
      </c>
      <c r="I345" s="95">
        <v>98</v>
      </c>
      <c r="J345" s="101" t="s">
        <v>2596</v>
      </c>
    </row>
    <row r="346" spans="1:10" x14ac:dyDescent="0.25">
      <c r="A346" s="21" t="s">
        <v>422</v>
      </c>
      <c r="B346" s="2">
        <v>7.9</v>
      </c>
      <c r="C346" s="2" t="s">
        <v>463</v>
      </c>
      <c r="D346" s="2"/>
      <c r="E346" s="2"/>
      <c r="F346" s="2"/>
      <c r="G346" s="2" t="s">
        <v>2362</v>
      </c>
      <c r="H346" s="71" t="s">
        <v>2925</v>
      </c>
      <c r="I346" s="95">
        <v>99</v>
      </c>
      <c r="J346" s="101" t="s">
        <v>2596</v>
      </c>
    </row>
    <row r="347" spans="1:10" x14ac:dyDescent="0.25">
      <c r="A347" s="21" t="s">
        <v>422</v>
      </c>
      <c r="B347" s="5" t="s">
        <v>649</v>
      </c>
      <c r="C347" s="2" t="s">
        <v>566</v>
      </c>
      <c r="D347" s="2"/>
      <c r="E347" s="2"/>
      <c r="F347" s="2"/>
      <c r="G347" s="2" t="s">
        <v>2441</v>
      </c>
      <c r="H347" s="71" t="s">
        <v>2926</v>
      </c>
      <c r="I347" s="95">
        <v>100</v>
      </c>
      <c r="J347" s="101" t="s">
        <v>2596</v>
      </c>
    </row>
    <row r="348" spans="1:10" x14ac:dyDescent="0.25">
      <c r="A348" s="21" t="s">
        <v>422</v>
      </c>
      <c r="B348" s="2">
        <v>7.11</v>
      </c>
      <c r="C348" s="2" t="s">
        <v>650</v>
      </c>
      <c r="D348" s="2"/>
      <c r="E348" s="2"/>
      <c r="F348" s="2"/>
      <c r="G348" s="2" t="s">
        <v>2442</v>
      </c>
      <c r="H348" s="71" t="s">
        <v>2927</v>
      </c>
      <c r="I348" s="95">
        <v>101</v>
      </c>
      <c r="J348" s="101" t="s">
        <v>2596</v>
      </c>
    </row>
    <row r="349" spans="1:10" x14ac:dyDescent="0.25">
      <c r="A349" s="21" t="s">
        <v>422</v>
      </c>
      <c r="B349" s="2">
        <v>7.12</v>
      </c>
      <c r="C349" s="2" t="s">
        <v>459</v>
      </c>
      <c r="D349" s="2"/>
      <c r="E349" s="2"/>
      <c r="F349" s="2"/>
      <c r="G349" s="2" t="s">
        <v>2443</v>
      </c>
      <c r="H349" s="71" t="s">
        <v>2928</v>
      </c>
      <c r="I349" s="95">
        <v>102</v>
      </c>
      <c r="J349" s="101" t="s">
        <v>2596</v>
      </c>
    </row>
    <row r="350" spans="1:10" x14ac:dyDescent="0.25">
      <c r="A350" s="21" t="s">
        <v>422</v>
      </c>
      <c r="B350" s="2">
        <v>7.13</v>
      </c>
      <c r="C350" s="2" t="s">
        <v>567</v>
      </c>
      <c r="D350" s="2"/>
      <c r="E350" s="2"/>
      <c r="F350" s="2"/>
      <c r="G350" s="2" t="s">
        <v>2444</v>
      </c>
      <c r="H350" s="71" t="s">
        <v>2929</v>
      </c>
      <c r="I350" s="95">
        <v>103</v>
      </c>
      <c r="J350" s="101" t="s">
        <v>2596</v>
      </c>
    </row>
    <row r="351" spans="1:10" x14ac:dyDescent="0.25">
      <c r="A351" s="21" t="s">
        <v>422</v>
      </c>
      <c r="B351" s="2">
        <v>7.14</v>
      </c>
      <c r="C351" s="2" t="s">
        <v>501</v>
      </c>
      <c r="D351" s="2"/>
      <c r="E351" s="2"/>
      <c r="F351" s="2"/>
      <c r="G351" s="2" t="s">
        <v>2445</v>
      </c>
      <c r="H351" s="71" t="s">
        <v>2930</v>
      </c>
      <c r="I351" s="95">
        <v>104</v>
      </c>
      <c r="J351" s="101" t="s">
        <v>2596</v>
      </c>
    </row>
    <row r="352" spans="1:10" x14ac:dyDescent="0.25">
      <c r="A352" s="21" t="s">
        <v>422</v>
      </c>
      <c r="B352" s="2">
        <v>15.7</v>
      </c>
      <c r="C352" s="2" t="s">
        <v>681</v>
      </c>
      <c r="D352" s="2"/>
      <c r="E352" s="2"/>
      <c r="F352" s="2"/>
      <c r="G352" s="2" t="s">
        <v>2446</v>
      </c>
      <c r="H352" s="71" t="s">
        <v>2931</v>
      </c>
      <c r="I352" s="95">
        <v>105</v>
      </c>
      <c r="J352" s="101" t="s">
        <v>2596</v>
      </c>
    </row>
    <row r="353" spans="1:10" x14ac:dyDescent="0.25">
      <c r="A353" s="21" t="s">
        <v>422</v>
      </c>
      <c r="B353" s="2">
        <v>8</v>
      </c>
      <c r="C353" s="2" t="s">
        <v>464</v>
      </c>
      <c r="D353" s="2"/>
      <c r="E353" s="2"/>
      <c r="F353" s="2"/>
      <c r="G353" s="2" t="s">
        <v>2361</v>
      </c>
      <c r="H353" s="71" t="s">
        <v>2932</v>
      </c>
      <c r="I353" s="95">
        <v>106</v>
      </c>
      <c r="J353" s="101" t="s">
        <v>2596</v>
      </c>
    </row>
    <row r="354" spans="1:10" x14ac:dyDescent="0.25">
      <c r="A354" s="21" t="s">
        <v>422</v>
      </c>
      <c r="B354" s="2">
        <v>8.1</v>
      </c>
      <c r="C354" s="2" t="s">
        <v>465</v>
      </c>
      <c r="D354" s="2"/>
      <c r="E354" s="2"/>
      <c r="F354" s="2"/>
      <c r="G354" s="2" t="s">
        <v>2447</v>
      </c>
      <c r="H354" s="71" t="s">
        <v>2933</v>
      </c>
      <c r="I354" s="95">
        <v>107</v>
      </c>
      <c r="J354" s="101" t="s">
        <v>2596</v>
      </c>
    </row>
    <row r="355" spans="1:10" x14ac:dyDescent="0.25">
      <c r="A355" s="21" t="s">
        <v>422</v>
      </c>
      <c r="B355" s="2">
        <v>8.1999999999999993</v>
      </c>
      <c r="C355" s="2" t="s">
        <v>568</v>
      </c>
      <c r="D355" s="2"/>
      <c r="E355" s="2"/>
      <c r="F355" s="2"/>
      <c r="G355" s="2" t="s">
        <v>2448</v>
      </c>
      <c r="H355" s="71" t="s">
        <v>2934</v>
      </c>
      <c r="I355" s="95">
        <v>108</v>
      </c>
      <c r="J355" s="101" t="s">
        <v>2596</v>
      </c>
    </row>
    <row r="356" spans="1:10" x14ac:dyDescent="0.25">
      <c r="A356" s="21" t="s">
        <v>422</v>
      </c>
      <c r="B356" s="2">
        <v>8.3000000000000007</v>
      </c>
      <c r="C356" s="2" t="s">
        <v>569</v>
      </c>
      <c r="D356" s="2"/>
      <c r="E356" s="2"/>
      <c r="F356" s="2"/>
      <c r="G356" s="2" t="s">
        <v>2449</v>
      </c>
      <c r="H356" s="71" t="s">
        <v>2935</v>
      </c>
      <c r="I356" s="95">
        <v>109</v>
      </c>
      <c r="J356" s="101" t="s">
        <v>2596</v>
      </c>
    </row>
    <row r="357" spans="1:10" x14ac:dyDescent="0.25">
      <c r="A357" s="21" t="s">
        <v>422</v>
      </c>
      <c r="B357" s="2">
        <v>8.4</v>
      </c>
      <c r="C357" s="2" t="s">
        <v>570</v>
      </c>
      <c r="D357" s="2"/>
      <c r="E357" s="2"/>
      <c r="F357" s="2"/>
      <c r="G357" s="2" t="s">
        <v>2450</v>
      </c>
      <c r="H357" s="71" t="s">
        <v>2936</v>
      </c>
      <c r="I357" s="95">
        <v>110</v>
      </c>
      <c r="J357" s="101" t="s">
        <v>2596</v>
      </c>
    </row>
    <row r="358" spans="1:10" x14ac:dyDescent="0.25">
      <c r="A358" s="21" t="s">
        <v>422</v>
      </c>
      <c r="B358" s="2">
        <v>8.5</v>
      </c>
      <c r="C358" s="2" t="s">
        <v>468</v>
      </c>
      <c r="D358" s="2"/>
      <c r="E358" s="2"/>
      <c r="F358" s="2"/>
      <c r="G358" s="2" t="s">
        <v>2451</v>
      </c>
      <c r="H358" s="71" t="s">
        <v>2937</v>
      </c>
      <c r="I358" s="95">
        <v>111</v>
      </c>
      <c r="J358" s="101" t="s">
        <v>2596</v>
      </c>
    </row>
    <row r="359" spans="1:10" x14ac:dyDescent="0.25">
      <c r="A359" s="21" t="s">
        <v>422</v>
      </c>
      <c r="B359" s="2">
        <v>8.6</v>
      </c>
      <c r="C359" s="2" t="s">
        <v>469</v>
      </c>
      <c r="D359" s="2"/>
      <c r="E359" s="2"/>
      <c r="F359" s="2"/>
      <c r="G359" s="2" t="s">
        <v>2452</v>
      </c>
      <c r="H359" s="71" t="s">
        <v>2938</v>
      </c>
      <c r="I359" s="95">
        <v>112</v>
      </c>
      <c r="J359" s="101" t="s">
        <v>2596</v>
      </c>
    </row>
    <row r="360" spans="1:10" x14ac:dyDescent="0.25">
      <c r="A360" s="21" t="s">
        <v>422</v>
      </c>
      <c r="B360" s="2">
        <v>8.6999999999999993</v>
      </c>
      <c r="C360" s="2" t="s">
        <v>470</v>
      </c>
      <c r="D360" s="2"/>
      <c r="E360" s="2"/>
      <c r="F360" s="2"/>
      <c r="G360" s="2" t="s">
        <v>2360</v>
      </c>
      <c r="H360" s="71" t="s">
        <v>2939</v>
      </c>
      <c r="I360" s="95">
        <v>113</v>
      </c>
      <c r="J360" s="101" t="s">
        <v>2596</v>
      </c>
    </row>
    <row r="361" spans="1:10" x14ac:dyDescent="0.25">
      <c r="A361" s="21" t="s">
        <v>422</v>
      </c>
      <c r="B361" s="2">
        <v>8.9</v>
      </c>
      <c r="C361" s="2" t="s">
        <v>471</v>
      </c>
      <c r="D361" s="2"/>
      <c r="E361" s="2"/>
      <c r="F361" s="2"/>
      <c r="G361" s="2" t="s">
        <v>2447</v>
      </c>
      <c r="H361" s="71" t="s">
        <v>2940</v>
      </c>
      <c r="I361" s="95">
        <v>114</v>
      </c>
      <c r="J361" s="101" t="s">
        <v>2596</v>
      </c>
    </row>
    <row r="362" spans="1:10" x14ac:dyDescent="0.25">
      <c r="A362" s="21" t="s">
        <v>422</v>
      </c>
      <c r="B362" s="5" t="s">
        <v>651</v>
      </c>
      <c r="C362" s="2" t="s">
        <v>571</v>
      </c>
      <c r="D362" s="2"/>
      <c r="E362" s="2"/>
      <c r="F362" s="2"/>
      <c r="G362" s="2" t="s">
        <v>2448</v>
      </c>
      <c r="H362" s="71" t="s">
        <v>2941</v>
      </c>
      <c r="I362" s="95">
        <v>115</v>
      </c>
      <c r="J362" s="101" t="s">
        <v>2596</v>
      </c>
    </row>
    <row r="363" spans="1:10" x14ac:dyDescent="0.25">
      <c r="A363" s="21" t="s">
        <v>422</v>
      </c>
      <c r="B363" s="2">
        <v>8.11</v>
      </c>
      <c r="C363" s="2" t="s">
        <v>466</v>
      </c>
      <c r="D363" s="2"/>
      <c r="E363" s="2"/>
      <c r="F363" s="2"/>
      <c r="G363" s="2" t="s">
        <v>2449</v>
      </c>
      <c r="H363" s="71" t="s">
        <v>2942</v>
      </c>
      <c r="I363" s="95">
        <v>116</v>
      </c>
      <c r="J363" s="101" t="s">
        <v>2596</v>
      </c>
    </row>
    <row r="364" spans="1:10" x14ac:dyDescent="0.25">
      <c r="A364" s="21" t="s">
        <v>422</v>
      </c>
      <c r="B364" s="2">
        <v>8.1199999999999992</v>
      </c>
      <c r="C364" s="2" t="s">
        <v>467</v>
      </c>
      <c r="D364" s="2"/>
      <c r="E364" s="2"/>
      <c r="F364" s="2"/>
      <c r="G364" s="2" t="s">
        <v>2450</v>
      </c>
      <c r="H364" s="71" t="s">
        <v>2943</v>
      </c>
      <c r="I364" s="95">
        <v>117</v>
      </c>
      <c r="J364" s="101" t="s">
        <v>2596</v>
      </c>
    </row>
    <row r="365" spans="1:10" x14ac:dyDescent="0.25">
      <c r="A365" s="21" t="s">
        <v>422</v>
      </c>
      <c r="B365" s="2">
        <v>8.1300000000000008</v>
      </c>
      <c r="C365" s="2" t="s">
        <v>472</v>
      </c>
      <c r="D365" s="2"/>
      <c r="E365" s="2"/>
      <c r="F365" s="2"/>
      <c r="G365" s="2" t="s">
        <v>2451</v>
      </c>
      <c r="H365" s="71" t="s">
        <v>2944</v>
      </c>
      <c r="I365" s="95">
        <v>118</v>
      </c>
      <c r="J365" s="101" t="s">
        <v>2596</v>
      </c>
    </row>
    <row r="366" spans="1:10" x14ac:dyDescent="0.25">
      <c r="A366" s="21" t="s">
        <v>422</v>
      </c>
      <c r="B366" s="2">
        <v>8.14</v>
      </c>
      <c r="C366" s="2" t="s">
        <v>513</v>
      </c>
      <c r="D366" s="2"/>
      <c r="E366" s="2"/>
      <c r="F366" s="2"/>
      <c r="G366" s="2" t="s">
        <v>2452</v>
      </c>
      <c r="H366" s="71" t="s">
        <v>2945</v>
      </c>
      <c r="I366" s="95">
        <v>119</v>
      </c>
      <c r="J366" s="101" t="s">
        <v>2596</v>
      </c>
    </row>
    <row r="367" spans="1:10" x14ac:dyDescent="0.25">
      <c r="A367" s="21" t="s">
        <v>422</v>
      </c>
      <c r="B367" s="2">
        <v>15.8</v>
      </c>
      <c r="C367" s="2" t="s">
        <v>682</v>
      </c>
      <c r="D367" s="2"/>
      <c r="E367" s="2"/>
      <c r="F367" s="2"/>
      <c r="G367" s="2" t="s">
        <v>3373</v>
      </c>
      <c r="H367" s="71" t="s">
        <v>2946</v>
      </c>
      <c r="I367" s="95">
        <v>120</v>
      </c>
      <c r="J367" s="101" t="s">
        <v>2596</v>
      </c>
    </row>
    <row r="368" spans="1:10" x14ac:dyDescent="0.25">
      <c r="A368" s="21" t="s">
        <v>422</v>
      </c>
      <c r="B368" s="2">
        <v>9</v>
      </c>
      <c r="C368" s="2" t="s">
        <v>474</v>
      </c>
      <c r="D368" s="2"/>
      <c r="E368" s="2"/>
      <c r="F368" s="2"/>
      <c r="G368" s="2" t="s">
        <v>2362</v>
      </c>
      <c r="H368" s="71" t="s">
        <v>2947</v>
      </c>
      <c r="I368" s="95">
        <v>121</v>
      </c>
      <c r="J368" s="101" t="s">
        <v>2596</v>
      </c>
    </row>
    <row r="369" spans="1:10" x14ac:dyDescent="0.25">
      <c r="A369" s="21" t="s">
        <v>422</v>
      </c>
      <c r="B369" s="2">
        <v>9.1</v>
      </c>
      <c r="C369" s="2" t="s">
        <v>475</v>
      </c>
      <c r="D369" s="2"/>
      <c r="E369" s="2"/>
      <c r="F369" s="2"/>
      <c r="G369" s="2" t="s">
        <v>2441</v>
      </c>
      <c r="H369" s="71" t="s">
        <v>2948</v>
      </c>
      <c r="I369" s="95">
        <v>122</v>
      </c>
      <c r="J369" s="101" t="s">
        <v>2596</v>
      </c>
    </row>
    <row r="370" spans="1:10" x14ac:dyDescent="0.25">
      <c r="A370" s="21" t="s">
        <v>422</v>
      </c>
      <c r="B370" s="2">
        <v>9.1999999999999993</v>
      </c>
      <c r="C370" s="2" t="s">
        <v>572</v>
      </c>
      <c r="D370" s="2"/>
      <c r="E370" s="2"/>
      <c r="F370" s="2"/>
      <c r="G370" s="2" t="s">
        <v>2442</v>
      </c>
      <c r="H370" s="71" t="s">
        <v>2949</v>
      </c>
      <c r="I370" s="95">
        <v>123</v>
      </c>
      <c r="J370" s="101" t="s">
        <v>2596</v>
      </c>
    </row>
    <row r="371" spans="1:10" x14ac:dyDescent="0.25">
      <c r="A371" s="21" t="s">
        <v>422</v>
      </c>
      <c r="B371" s="2">
        <v>9.3000000000000007</v>
      </c>
      <c r="C371" s="2" t="s">
        <v>573</v>
      </c>
      <c r="D371" s="2"/>
      <c r="E371" s="2"/>
      <c r="F371" s="2"/>
      <c r="G371" s="2" t="s">
        <v>2443</v>
      </c>
      <c r="H371" s="71" t="s">
        <v>2950</v>
      </c>
      <c r="I371" s="95">
        <v>124</v>
      </c>
      <c r="J371" s="101" t="s">
        <v>2596</v>
      </c>
    </row>
    <row r="372" spans="1:10" x14ac:dyDescent="0.25">
      <c r="A372" s="21" t="s">
        <v>422</v>
      </c>
      <c r="B372" s="2">
        <v>9.4</v>
      </c>
      <c r="C372" s="2" t="s">
        <v>574</v>
      </c>
      <c r="D372" s="2"/>
      <c r="E372" s="2"/>
      <c r="F372" s="2"/>
      <c r="G372" s="2" t="s">
        <v>2444</v>
      </c>
      <c r="H372" s="71" t="s">
        <v>2951</v>
      </c>
      <c r="I372" s="95">
        <v>125</v>
      </c>
      <c r="J372" s="101" t="s">
        <v>2596</v>
      </c>
    </row>
    <row r="373" spans="1:10" x14ac:dyDescent="0.25">
      <c r="A373" s="21" t="s">
        <v>422</v>
      </c>
      <c r="B373" s="2">
        <v>9.5</v>
      </c>
      <c r="C373" s="2" t="s">
        <v>575</v>
      </c>
      <c r="D373" s="2"/>
      <c r="E373" s="2"/>
      <c r="F373" s="2"/>
      <c r="G373" s="2" t="s">
        <v>2445</v>
      </c>
      <c r="H373" s="71" t="s">
        <v>2952</v>
      </c>
      <c r="I373" s="95">
        <v>126</v>
      </c>
      <c r="J373" s="101" t="s">
        <v>2596</v>
      </c>
    </row>
    <row r="374" spans="1:10" x14ac:dyDescent="0.25">
      <c r="A374" s="21" t="s">
        <v>422</v>
      </c>
      <c r="B374" s="2">
        <v>9.6</v>
      </c>
      <c r="C374" s="2" t="s">
        <v>476</v>
      </c>
      <c r="D374" s="2"/>
      <c r="E374" s="2"/>
      <c r="F374" s="2"/>
      <c r="G374" s="2" t="s">
        <v>2359</v>
      </c>
      <c r="H374" s="71" t="s">
        <v>2953</v>
      </c>
      <c r="I374" s="95">
        <v>127</v>
      </c>
      <c r="J374" s="101" t="s">
        <v>2596</v>
      </c>
    </row>
    <row r="375" spans="1:10" x14ac:dyDescent="0.25">
      <c r="A375" s="21" t="s">
        <v>422</v>
      </c>
      <c r="B375" s="2">
        <v>9.6999999999999993</v>
      </c>
      <c r="C375" s="2" t="s">
        <v>477</v>
      </c>
      <c r="D375" s="2"/>
      <c r="E375" s="2"/>
      <c r="F375" s="2"/>
      <c r="G375" s="2" t="s">
        <v>2421</v>
      </c>
      <c r="H375" s="71" t="s">
        <v>2954</v>
      </c>
      <c r="I375" s="95">
        <v>128</v>
      </c>
      <c r="J375" s="101" t="s">
        <v>2596</v>
      </c>
    </row>
    <row r="376" spans="1:10" x14ac:dyDescent="0.25">
      <c r="A376" s="21" t="s">
        <v>422</v>
      </c>
      <c r="B376" s="2">
        <v>9.8000000000000007</v>
      </c>
      <c r="C376" s="2" t="s">
        <v>478</v>
      </c>
      <c r="D376" s="2"/>
      <c r="E376" s="2"/>
      <c r="F376" s="2"/>
      <c r="G376" s="2" t="s">
        <v>2422</v>
      </c>
      <c r="H376" s="71" t="s">
        <v>2955</v>
      </c>
      <c r="I376" s="95">
        <v>129</v>
      </c>
      <c r="J376" s="101" t="s">
        <v>2596</v>
      </c>
    </row>
    <row r="377" spans="1:10" x14ac:dyDescent="0.25">
      <c r="A377" s="21" t="s">
        <v>422</v>
      </c>
      <c r="B377" s="5" t="s">
        <v>652</v>
      </c>
      <c r="C377" s="2" t="s">
        <v>576</v>
      </c>
      <c r="D377" s="2"/>
      <c r="E377" s="2"/>
      <c r="F377" s="2"/>
      <c r="G377" s="2" t="s">
        <v>2436</v>
      </c>
      <c r="H377" s="71" t="s">
        <v>2956</v>
      </c>
      <c r="I377" s="95">
        <v>130</v>
      </c>
      <c r="J377" s="101" t="s">
        <v>2596</v>
      </c>
    </row>
    <row r="378" spans="1:10" x14ac:dyDescent="0.25">
      <c r="A378" s="21" t="s">
        <v>422</v>
      </c>
      <c r="B378" s="2">
        <v>9.11</v>
      </c>
      <c r="C378" s="2" t="s">
        <v>473</v>
      </c>
      <c r="D378" s="2"/>
      <c r="E378" s="2"/>
      <c r="F378" s="2"/>
      <c r="G378" s="2" t="s">
        <v>2437</v>
      </c>
      <c r="H378" s="71" t="s">
        <v>2957</v>
      </c>
      <c r="I378" s="95">
        <v>131</v>
      </c>
      <c r="J378" s="101" t="s">
        <v>2596</v>
      </c>
    </row>
    <row r="379" spans="1:10" x14ac:dyDescent="0.25">
      <c r="A379" s="21" t="s">
        <v>422</v>
      </c>
      <c r="B379" s="2">
        <v>9.1199999999999992</v>
      </c>
      <c r="C379" s="2" t="s">
        <v>492</v>
      </c>
      <c r="D379" s="2"/>
      <c r="E379" s="2"/>
      <c r="F379" s="2"/>
      <c r="G379" s="2" t="s">
        <v>2438</v>
      </c>
      <c r="H379" s="71" t="s">
        <v>2958</v>
      </c>
      <c r="I379" s="95">
        <v>132</v>
      </c>
      <c r="J379" s="101" t="s">
        <v>2596</v>
      </c>
    </row>
    <row r="380" spans="1:10" x14ac:dyDescent="0.25">
      <c r="A380" s="21" t="s">
        <v>422</v>
      </c>
      <c r="B380" s="2">
        <v>9.1300000000000008</v>
      </c>
      <c r="C380" s="2" t="s">
        <v>514</v>
      </c>
      <c r="D380" s="2"/>
      <c r="E380" s="2"/>
      <c r="F380" s="2"/>
      <c r="G380" s="2" t="s">
        <v>2439</v>
      </c>
      <c r="H380" s="71" t="s">
        <v>2959</v>
      </c>
      <c r="I380" s="95">
        <v>133</v>
      </c>
      <c r="J380" s="101" t="s">
        <v>2596</v>
      </c>
    </row>
    <row r="381" spans="1:10" x14ac:dyDescent="0.25">
      <c r="A381" s="21" t="s">
        <v>422</v>
      </c>
      <c r="B381" s="2">
        <v>9.14</v>
      </c>
      <c r="C381" s="2" t="s">
        <v>515</v>
      </c>
      <c r="D381" s="2"/>
      <c r="E381" s="2"/>
      <c r="F381" s="2"/>
      <c r="G381" s="2" t="s">
        <v>2453</v>
      </c>
      <c r="H381" s="71" t="s">
        <v>2960</v>
      </c>
      <c r="I381" s="95">
        <v>134</v>
      </c>
      <c r="J381" s="101" t="s">
        <v>2596</v>
      </c>
    </row>
    <row r="382" spans="1:10" x14ac:dyDescent="0.25">
      <c r="A382" s="21" t="s">
        <v>422</v>
      </c>
      <c r="B382" s="2">
        <v>15.9</v>
      </c>
      <c r="C382" s="2" t="s">
        <v>683</v>
      </c>
      <c r="D382" s="2"/>
      <c r="E382" s="2"/>
      <c r="F382" s="2"/>
      <c r="G382" s="2" t="s">
        <v>2454</v>
      </c>
      <c r="H382" s="71" t="s">
        <v>2961</v>
      </c>
      <c r="I382" s="95">
        <v>135</v>
      </c>
      <c r="J382" s="101" t="s">
        <v>2596</v>
      </c>
    </row>
    <row r="383" spans="1:10" x14ac:dyDescent="0.25">
      <c r="A383" s="21" t="s">
        <v>422</v>
      </c>
      <c r="B383" s="2">
        <v>10</v>
      </c>
      <c r="C383" s="2" t="s">
        <v>479</v>
      </c>
      <c r="D383" s="2"/>
      <c r="E383" s="2"/>
      <c r="F383" s="2"/>
      <c r="G383" s="2" t="s">
        <v>2363</v>
      </c>
      <c r="H383" s="71" t="s">
        <v>2962</v>
      </c>
      <c r="I383" s="95">
        <v>136</v>
      </c>
      <c r="J383" s="101" t="s">
        <v>2596</v>
      </c>
    </row>
    <row r="384" spans="1:10" x14ac:dyDescent="0.25">
      <c r="A384" s="21" t="s">
        <v>422</v>
      </c>
      <c r="B384" s="2">
        <v>10.1</v>
      </c>
      <c r="C384" s="2" t="s">
        <v>480</v>
      </c>
      <c r="D384" s="2"/>
      <c r="E384" s="2"/>
      <c r="F384" s="2"/>
      <c r="G384" s="2" t="s">
        <v>2363</v>
      </c>
      <c r="H384" s="71" t="s">
        <v>2963</v>
      </c>
      <c r="I384" s="95">
        <v>137</v>
      </c>
      <c r="J384" s="101" t="s">
        <v>2596</v>
      </c>
    </row>
    <row r="385" spans="1:10" x14ac:dyDescent="0.25">
      <c r="A385" s="21" t="s">
        <v>422</v>
      </c>
      <c r="B385" s="2">
        <v>10.199999999999999</v>
      </c>
      <c r="C385" s="2" t="s">
        <v>577</v>
      </c>
      <c r="D385" s="2"/>
      <c r="E385" s="2"/>
      <c r="F385" s="2"/>
      <c r="G385" s="2" t="s">
        <v>2430</v>
      </c>
      <c r="H385" s="71" t="s">
        <v>2964</v>
      </c>
      <c r="I385" s="95">
        <v>138</v>
      </c>
      <c r="J385" s="101" t="s">
        <v>2596</v>
      </c>
    </row>
    <row r="386" spans="1:10" x14ac:dyDescent="0.25">
      <c r="A386" s="21" t="s">
        <v>422</v>
      </c>
      <c r="B386" s="2">
        <v>10.3</v>
      </c>
      <c r="C386" s="2" t="s">
        <v>583</v>
      </c>
      <c r="D386" s="2"/>
      <c r="E386" s="2"/>
      <c r="F386" s="2"/>
      <c r="G386" s="2" t="s">
        <v>2363</v>
      </c>
      <c r="H386" s="71" t="s">
        <v>2965</v>
      </c>
      <c r="I386" s="95">
        <v>139</v>
      </c>
      <c r="J386" s="101" t="s">
        <v>2596</v>
      </c>
    </row>
    <row r="387" spans="1:10" x14ac:dyDescent="0.25">
      <c r="A387" s="21" t="s">
        <v>422</v>
      </c>
      <c r="B387" s="2">
        <v>10.4</v>
      </c>
      <c r="C387" s="2" t="s">
        <v>578</v>
      </c>
      <c r="D387" s="2"/>
      <c r="E387" s="2"/>
      <c r="F387" s="2"/>
      <c r="G387" s="2" t="s">
        <v>2432</v>
      </c>
      <c r="H387" s="71" t="s">
        <v>2966</v>
      </c>
      <c r="I387" s="95">
        <v>140</v>
      </c>
      <c r="J387" s="101" t="s">
        <v>2596</v>
      </c>
    </row>
    <row r="388" spans="1:10" x14ac:dyDescent="0.25">
      <c r="A388" s="21" t="s">
        <v>422</v>
      </c>
      <c r="B388" s="2">
        <v>10.5</v>
      </c>
      <c r="C388" s="2" t="s">
        <v>584</v>
      </c>
      <c r="D388" s="2"/>
      <c r="E388" s="2"/>
      <c r="F388" s="2"/>
      <c r="G388" s="2" t="s">
        <v>2363</v>
      </c>
      <c r="H388" s="71" t="s">
        <v>2967</v>
      </c>
      <c r="I388" s="95">
        <v>141</v>
      </c>
      <c r="J388" s="101" t="s">
        <v>2596</v>
      </c>
    </row>
    <row r="389" spans="1:10" x14ac:dyDescent="0.25">
      <c r="A389" s="21" t="s">
        <v>422</v>
      </c>
      <c r="B389" s="2">
        <v>10.6</v>
      </c>
      <c r="C389" s="2" t="s">
        <v>481</v>
      </c>
      <c r="D389" s="2"/>
      <c r="E389" s="2"/>
      <c r="F389" s="2"/>
      <c r="G389" s="2" t="s">
        <v>2408</v>
      </c>
      <c r="H389" s="71" t="s">
        <v>2968</v>
      </c>
      <c r="I389" s="95">
        <v>142</v>
      </c>
      <c r="J389" s="101" t="s">
        <v>2596</v>
      </c>
    </row>
    <row r="390" spans="1:10" x14ac:dyDescent="0.25">
      <c r="A390" s="21" t="s">
        <v>422</v>
      </c>
      <c r="B390" s="2">
        <v>10.7</v>
      </c>
      <c r="C390" s="2" t="s">
        <v>482</v>
      </c>
      <c r="D390" s="2"/>
      <c r="E390" s="2"/>
      <c r="F390" s="2"/>
      <c r="G390" s="2" t="s">
        <v>2409</v>
      </c>
      <c r="H390" s="71" t="s">
        <v>2969</v>
      </c>
      <c r="I390" s="95">
        <v>143</v>
      </c>
      <c r="J390" s="101" t="s">
        <v>2596</v>
      </c>
    </row>
    <row r="391" spans="1:10" x14ac:dyDescent="0.25">
      <c r="A391" s="21" t="s">
        <v>422</v>
      </c>
      <c r="B391" s="2">
        <v>10.8</v>
      </c>
      <c r="C391" s="2" t="s">
        <v>483</v>
      </c>
      <c r="D391" s="2"/>
      <c r="E391" s="2"/>
      <c r="F391" s="2"/>
      <c r="G391" s="2" t="s">
        <v>2410</v>
      </c>
      <c r="H391" s="71" t="s">
        <v>2970</v>
      </c>
      <c r="I391" s="95">
        <v>144</v>
      </c>
      <c r="J391" s="101" t="s">
        <v>2596</v>
      </c>
    </row>
    <row r="392" spans="1:10" x14ac:dyDescent="0.25">
      <c r="A392" s="21" t="s">
        <v>422</v>
      </c>
      <c r="B392" s="2">
        <v>10.9</v>
      </c>
      <c r="C392" s="2" t="s">
        <v>582</v>
      </c>
      <c r="D392" s="2"/>
      <c r="E392" s="2"/>
      <c r="F392" s="2"/>
      <c r="G392" s="2" t="s">
        <v>2411</v>
      </c>
      <c r="H392" s="71" t="s">
        <v>2971</v>
      </c>
      <c r="I392" s="95">
        <v>145</v>
      </c>
      <c r="J392" s="101" t="s">
        <v>2596</v>
      </c>
    </row>
    <row r="393" spans="1:10" x14ac:dyDescent="0.25">
      <c r="A393" s="21" t="s">
        <v>422</v>
      </c>
      <c r="B393" s="2">
        <v>10.11</v>
      </c>
      <c r="C393" s="2" t="s">
        <v>585</v>
      </c>
      <c r="D393" s="2"/>
      <c r="E393" s="2"/>
      <c r="F393" s="2"/>
      <c r="G393" s="2" t="s">
        <v>2425</v>
      </c>
      <c r="H393" s="71" t="s">
        <v>2972</v>
      </c>
      <c r="I393" s="95">
        <v>146</v>
      </c>
      <c r="J393" s="101" t="s">
        <v>2596</v>
      </c>
    </row>
    <row r="394" spans="1:10" x14ac:dyDescent="0.25">
      <c r="A394" s="21" t="s">
        <v>422</v>
      </c>
      <c r="B394" s="2">
        <v>10.119999999999999</v>
      </c>
      <c r="C394" s="2" t="s">
        <v>579</v>
      </c>
      <c r="D394" s="2"/>
      <c r="E394" s="2"/>
      <c r="F394" s="2"/>
      <c r="G394" s="2" t="s">
        <v>2455</v>
      </c>
      <c r="H394" s="71" t="s">
        <v>2973</v>
      </c>
      <c r="I394" s="95">
        <v>147</v>
      </c>
      <c r="J394" s="101" t="s">
        <v>2596</v>
      </c>
    </row>
    <row r="395" spans="1:10" x14ac:dyDescent="0.25">
      <c r="A395" s="21" t="s">
        <v>422</v>
      </c>
      <c r="B395" s="2">
        <v>10.130000000000001</v>
      </c>
      <c r="C395" s="2" t="s">
        <v>580</v>
      </c>
      <c r="D395" s="2"/>
      <c r="E395" s="2"/>
      <c r="F395" s="2"/>
      <c r="G395" s="2" t="s">
        <v>2456</v>
      </c>
      <c r="H395" s="71" t="s">
        <v>2974</v>
      </c>
      <c r="I395" s="95">
        <v>148</v>
      </c>
      <c r="J395" s="101" t="s">
        <v>2596</v>
      </c>
    </row>
    <row r="396" spans="1:10" x14ac:dyDescent="0.25">
      <c r="A396" s="21" t="s">
        <v>422</v>
      </c>
      <c r="B396" s="2">
        <v>10.14</v>
      </c>
      <c r="C396" s="2" t="s">
        <v>581</v>
      </c>
      <c r="D396" s="2"/>
      <c r="E396" s="2"/>
      <c r="F396" s="2"/>
      <c r="G396" s="2" t="s">
        <v>2440</v>
      </c>
      <c r="H396" s="71" t="s">
        <v>2975</v>
      </c>
      <c r="I396" s="95">
        <v>149</v>
      </c>
      <c r="J396" s="101" t="s">
        <v>2596</v>
      </c>
    </row>
    <row r="397" spans="1:10" x14ac:dyDescent="0.25">
      <c r="A397" s="21" t="s">
        <v>422</v>
      </c>
      <c r="B397" s="5" t="s">
        <v>689</v>
      </c>
      <c r="C397" s="2" t="s">
        <v>684</v>
      </c>
      <c r="D397" s="2"/>
      <c r="E397" s="2"/>
      <c r="F397" s="2"/>
      <c r="G397" s="2" t="s">
        <v>2457</v>
      </c>
      <c r="H397" s="71" t="s">
        <v>2976</v>
      </c>
      <c r="I397" s="95">
        <v>150</v>
      </c>
      <c r="J397" s="101" t="s">
        <v>2596</v>
      </c>
    </row>
    <row r="398" spans="1:10" x14ac:dyDescent="0.25">
      <c r="A398" s="21" t="s">
        <v>422</v>
      </c>
      <c r="B398" s="2">
        <v>11</v>
      </c>
      <c r="C398" s="2" t="s">
        <v>493</v>
      </c>
      <c r="D398" s="2"/>
      <c r="E398" s="2"/>
      <c r="F398" s="2"/>
      <c r="G398" s="2" t="s">
        <v>2364</v>
      </c>
      <c r="H398" s="71" t="s">
        <v>2977</v>
      </c>
      <c r="I398" s="95">
        <v>151</v>
      </c>
      <c r="J398" s="101" t="s">
        <v>2596</v>
      </c>
    </row>
    <row r="399" spans="1:10" x14ac:dyDescent="0.25">
      <c r="A399" s="21" t="s">
        <v>422</v>
      </c>
      <c r="B399" s="2">
        <v>11.1</v>
      </c>
      <c r="C399" s="2" t="s">
        <v>594</v>
      </c>
      <c r="D399" s="2"/>
      <c r="E399" s="2"/>
      <c r="F399" s="2"/>
      <c r="G399" s="2" t="s">
        <v>2417</v>
      </c>
      <c r="H399" s="71" t="s">
        <v>2978</v>
      </c>
      <c r="I399" s="95">
        <v>152</v>
      </c>
      <c r="J399" s="101" t="s">
        <v>2596</v>
      </c>
    </row>
    <row r="400" spans="1:10" x14ac:dyDescent="0.25">
      <c r="A400" s="21" t="s">
        <v>422</v>
      </c>
      <c r="B400" s="2">
        <v>11.2</v>
      </c>
      <c r="C400" s="2" t="s">
        <v>586</v>
      </c>
      <c r="D400" s="2"/>
      <c r="E400" s="2"/>
      <c r="F400" s="2"/>
      <c r="G400" s="2" t="s">
        <v>2418</v>
      </c>
      <c r="H400" s="71" t="s">
        <v>2979</v>
      </c>
      <c r="I400" s="95">
        <v>153</v>
      </c>
      <c r="J400" s="101" t="s">
        <v>2596</v>
      </c>
    </row>
    <row r="401" spans="1:10" x14ac:dyDescent="0.25">
      <c r="A401" s="21" t="s">
        <v>422</v>
      </c>
      <c r="B401" s="2">
        <v>11.3</v>
      </c>
      <c r="C401" s="2" t="s">
        <v>595</v>
      </c>
      <c r="D401" s="2"/>
      <c r="E401" s="2"/>
      <c r="F401" s="2"/>
      <c r="G401" s="2" t="s">
        <v>2419</v>
      </c>
      <c r="H401" s="71" t="s">
        <v>2980</v>
      </c>
      <c r="I401" s="95">
        <v>154</v>
      </c>
      <c r="J401" s="101" t="s">
        <v>2596</v>
      </c>
    </row>
    <row r="402" spans="1:10" x14ac:dyDescent="0.25">
      <c r="A402" s="21" t="s">
        <v>422</v>
      </c>
      <c r="B402" s="2">
        <v>11.4</v>
      </c>
      <c r="C402" s="2" t="s">
        <v>587</v>
      </c>
      <c r="D402" s="2"/>
      <c r="E402" s="2"/>
      <c r="F402" s="2"/>
      <c r="G402" s="2" t="s">
        <v>2357</v>
      </c>
      <c r="H402" s="71" t="s">
        <v>2981</v>
      </c>
      <c r="I402" s="95">
        <v>155</v>
      </c>
      <c r="J402" s="101" t="s">
        <v>2596</v>
      </c>
    </row>
    <row r="403" spans="1:10" x14ac:dyDescent="0.25">
      <c r="A403" s="21" t="s">
        <v>422</v>
      </c>
      <c r="B403" s="2">
        <v>11.5</v>
      </c>
      <c r="C403" s="2" t="s">
        <v>596</v>
      </c>
      <c r="D403" s="2"/>
      <c r="E403" s="2"/>
      <c r="F403" s="2"/>
      <c r="G403" s="2" t="s">
        <v>2395</v>
      </c>
      <c r="H403" s="71" t="s">
        <v>2982</v>
      </c>
      <c r="I403" s="95">
        <v>156</v>
      </c>
      <c r="J403" s="101" t="s">
        <v>2596</v>
      </c>
    </row>
    <row r="404" spans="1:10" x14ac:dyDescent="0.25">
      <c r="A404" s="21" t="s">
        <v>422</v>
      </c>
      <c r="B404" s="2">
        <v>11.6</v>
      </c>
      <c r="C404" s="2" t="s">
        <v>588</v>
      </c>
      <c r="D404" s="2"/>
      <c r="E404" s="2"/>
      <c r="F404" s="2"/>
      <c r="G404" s="2" t="s">
        <v>2396</v>
      </c>
      <c r="H404" s="71" t="s">
        <v>2983</v>
      </c>
      <c r="I404" s="95">
        <v>157</v>
      </c>
      <c r="J404" s="101" t="s">
        <v>2596</v>
      </c>
    </row>
    <row r="405" spans="1:10" x14ac:dyDescent="0.25">
      <c r="A405" s="21" t="s">
        <v>422</v>
      </c>
      <c r="B405" s="2">
        <v>11.7</v>
      </c>
      <c r="C405" s="2" t="s">
        <v>589</v>
      </c>
      <c r="D405" s="2"/>
      <c r="E405" s="2"/>
      <c r="F405" s="2"/>
      <c r="G405" s="2" t="s">
        <v>2397</v>
      </c>
      <c r="H405" s="71" t="s">
        <v>2984</v>
      </c>
      <c r="I405" s="95">
        <v>158</v>
      </c>
      <c r="J405" s="101" t="s">
        <v>2596</v>
      </c>
    </row>
    <row r="406" spans="1:10" x14ac:dyDescent="0.25">
      <c r="A406" s="21" t="s">
        <v>422</v>
      </c>
      <c r="B406" s="2">
        <v>11.8</v>
      </c>
      <c r="C406" s="2" t="s">
        <v>590</v>
      </c>
      <c r="D406" s="2"/>
      <c r="E406" s="2"/>
      <c r="F406" s="2"/>
      <c r="G406" s="2" t="s">
        <v>2458</v>
      </c>
      <c r="H406" s="71" t="s">
        <v>2985</v>
      </c>
      <c r="I406" s="95">
        <v>159</v>
      </c>
      <c r="J406" s="101" t="s">
        <v>2596</v>
      </c>
    </row>
    <row r="407" spans="1:10" x14ac:dyDescent="0.25">
      <c r="A407" s="21" t="s">
        <v>422</v>
      </c>
      <c r="B407" s="2">
        <v>11.9</v>
      </c>
      <c r="C407" s="2" t="s">
        <v>591</v>
      </c>
      <c r="D407" s="2"/>
      <c r="E407" s="2"/>
      <c r="F407" s="2"/>
      <c r="G407" s="2" t="s">
        <v>2459</v>
      </c>
      <c r="H407" s="71" t="s">
        <v>2986</v>
      </c>
      <c r="I407" s="95">
        <v>160</v>
      </c>
      <c r="J407" s="101" t="s">
        <v>2596</v>
      </c>
    </row>
    <row r="408" spans="1:10" x14ac:dyDescent="0.25">
      <c r="A408" s="21" t="s">
        <v>422</v>
      </c>
      <c r="B408" s="5" t="s">
        <v>597</v>
      </c>
      <c r="C408" s="2" t="s">
        <v>598</v>
      </c>
      <c r="D408" s="2"/>
      <c r="E408" s="2"/>
      <c r="F408" s="2"/>
      <c r="G408" s="2" t="s">
        <v>2412</v>
      </c>
      <c r="H408" s="71" t="s">
        <v>2987</v>
      </c>
      <c r="I408" s="95">
        <v>161</v>
      </c>
      <c r="J408" s="101" t="s">
        <v>2596</v>
      </c>
    </row>
    <row r="409" spans="1:10" x14ac:dyDescent="0.25">
      <c r="A409" s="21" t="s">
        <v>422</v>
      </c>
      <c r="B409" s="2">
        <v>11.12</v>
      </c>
      <c r="C409" s="2" t="s">
        <v>484</v>
      </c>
      <c r="D409" s="2"/>
      <c r="E409" s="2"/>
      <c r="F409" s="2"/>
      <c r="G409" s="2" t="s">
        <v>2426</v>
      </c>
      <c r="H409" s="71" t="s">
        <v>2988</v>
      </c>
      <c r="I409" s="95">
        <v>162</v>
      </c>
      <c r="J409" s="101" t="s">
        <v>2596</v>
      </c>
    </row>
    <row r="410" spans="1:10" x14ac:dyDescent="0.25">
      <c r="A410" s="21" t="s">
        <v>422</v>
      </c>
      <c r="B410" s="2">
        <v>11.13</v>
      </c>
      <c r="C410" s="2" t="s">
        <v>592</v>
      </c>
      <c r="D410" s="2"/>
      <c r="E410" s="2"/>
      <c r="F410" s="2"/>
      <c r="G410" s="2" t="s">
        <v>2427</v>
      </c>
      <c r="H410" s="71" t="s">
        <v>2989</v>
      </c>
      <c r="I410" s="95">
        <v>163</v>
      </c>
      <c r="J410" s="101" t="s">
        <v>2596</v>
      </c>
    </row>
    <row r="411" spans="1:10" x14ac:dyDescent="0.25">
      <c r="A411" s="21" t="s">
        <v>422</v>
      </c>
      <c r="B411" s="2">
        <v>11.14</v>
      </c>
      <c r="C411" s="2" t="s">
        <v>593</v>
      </c>
      <c r="D411" s="2"/>
      <c r="E411" s="2"/>
      <c r="F411" s="2"/>
      <c r="G411" s="2" t="s">
        <v>2428</v>
      </c>
      <c r="H411" s="71" t="s">
        <v>2990</v>
      </c>
      <c r="I411" s="95">
        <v>164</v>
      </c>
      <c r="J411" s="101" t="s">
        <v>2596</v>
      </c>
    </row>
    <row r="412" spans="1:10" x14ac:dyDescent="0.25">
      <c r="A412" s="21" t="s">
        <v>422</v>
      </c>
      <c r="B412" s="2">
        <v>15.11</v>
      </c>
      <c r="C412" s="2" t="s">
        <v>685</v>
      </c>
      <c r="D412" s="2"/>
      <c r="E412" s="2"/>
      <c r="F412" s="2"/>
      <c r="G412" s="2" t="s">
        <v>2460</v>
      </c>
      <c r="H412" s="71" t="s">
        <v>2991</v>
      </c>
      <c r="I412" s="95">
        <v>165</v>
      </c>
      <c r="J412" s="101" t="s">
        <v>2596</v>
      </c>
    </row>
    <row r="413" spans="1:10" x14ac:dyDescent="0.25">
      <c r="A413" s="21" t="s">
        <v>422</v>
      </c>
      <c r="B413" s="2">
        <v>12</v>
      </c>
      <c r="C413" s="2" t="s">
        <v>485</v>
      </c>
      <c r="D413" s="2"/>
      <c r="E413" s="2"/>
      <c r="F413" s="2"/>
      <c r="G413" s="2" t="s">
        <v>2365</v>
      </c>
      <c r="H413" s="71" t="s">
        <v>2992</v>
      </c>
      <c r="I413" s="95">
        <v>166</v>
      </c>
      <c r="J413" s="101" t="s">
        <v>2596</v>
      </c>
    </row>
    <row r="414" spans="1:10" x14ac:dyDescent="0.25">
      <c r="A414" s="21" t="s">
        <v>422</v>
      </c>
      <c r="B414" s="2">
        <v>12.1</v>
      </c>
      <c r="C414" s="2" t="s">
        <v>600</v>
      </c>
      <c r="D414" s="2"/>
      <c r="E414" s="2"/>
      <c r="F414" s="2"/>
      <c r="G414" s="2" t="s">
        <v>2405</v>
      </c>
      <c r="H414" s="71" t="s">
        <v>2993</v>
      </c>
      <c r="I414" s="95">
        <v>167</v>
      </c>
      <c r="J414" s="101" t="s">
        <v>2596</v>
      </c>
    </row>
    <row r="415" spans="1:10" x14ac:dyDescent="0.25">
      <c r="A415" s="21" t="s">
        <v>422</v>
      </c>
      <c r="B415" s="2">
        <v>12.2</v>
      </c>
      <c r="C415" s="2" t="s">
        <v>601</v>
      </c>
      <c r="D415" s="2"/>
      <c r="E415" s="2"/>
      <c r="F415" s="2"/>
      <c r="G415" s="2" t="s">
        <v>2406</v>
      </c>
      <c r="H415" s="71" t="s">
        <v>2994</v>
      </c>
      <c r="I415" s="95">
        <v>168</v>
      </c>
      <c r="J415" s="101" t="s">
        <v>2596</v>
      </c>
    </row>
    <row r="416" spans="1:10" x14ac:dyDescent="0.25">
      <c r="A416" s="21" t="s">
        <v>422</v>
      </c>
      <c r="B416" s="2">
        <v>12.3</v>
      </c>
      <c r="C416" s="2" t="s">
        <v>602</v>
      </c>
      <c r="D416" s="2"/>
      <c r="E416" s="2"/>
      <c r="F416" s="2"/>
      <c r="G416" s="2" t="s">
        <v>2356</v>
      </c>
      <c r="H416" s="71" t="s">
        <v>2995</v>
      </c>
      <c r="I416" s="95">
        <v>169</v>
      </c>
      <c r="J416" s="101" t="s">
        <v>2596</v>
      </c>
    </row>
    <row r="417" spans="1:10" x14ac:dyDescent="0.25">
      <c r="A417" s="21" t="s">
        <v>422</v>
      </c>
      <c r="B417" s="2">
        <v>12.4</v>
      </c>
      <c r="C417" s="2" t="s">
        <v>603</v>
      </c>
      <c r="D417" s="2"/>
      <c r="E417" s="2"/>
      <c r="F417" s="2"/>
      <c r="G417" s="2" t="s">
        <v>2382</v>
      </c>
      <c r="H417" s="71" t="s">
        <v>2996</v>
      </c>
      <c r="I417" s="95">
        <v>170</v>
      </c>
      <c r="J417" s="101" t="s">
        <v>2596</v>
      </c>
    </row>
    <row r="418" spans="1:10" x14ac:dyDescent="0.25">
      <c r="A418" s="21" t="s">
        <v>422</v>
      </c>
      <c r="B418" s="2">
        <v>12.5</v>
      </c>
      <c r="C418" s="2" t="s">
        <v>604</v>
      </c>
      <c r="D418" s="2"/>
      <c r="E418" s="2"/>
      <c r="F418" s="2"/>
      <c r="G418" s="2" t="s">
        <v>2383</v>
      </c>
      <c r="H418" s="71" t="s">
        <v>2997</v>
      </c>
      <c r="I418" s="95">
        <v>171</v>
      </c>
      <c r="J418" s="101" t="s">
        <v>2596</v>
      </c>
    </row>
    <row r="419" spans="1:10" x14ac:dyDescent="0.25">
      <c r="A419" s="21" t="s">
        <v>422</v>
      </c>
      <c r="B419" s="2">
        <v>12.6</v>
      </c>
      <c r="C419" s="2" t="s">
        <v>605</v>
      </c>
      <c r="D419" s="2"/>
      <c r="E419" s="2"/>
      <c r="F419" s="2"/>
      <c r="G419" s="2" t="s">
        <v>2461</v>
      </c>
      <c r="H419" s="71" t="s">
        <v>2998</v>
      </c>
      <c r="I419" s="95">
        <v>172</v>
      </c>
      <c r="J419" s="101" t="s">
        <v>2596</v>
      </c>
    </row>
    <row r="420" spans="1:10" x14ac:dyDescent="0.25">
      <c r="A420" s="21" t="s">
        <v>422</v>
      </c>
      <c r="B420" s="2">
        <v>12.7</v>
      </c>
      <c r="C420" s="2" t="s">
        <v>606</v>
      </c>
      <c r="D420" s="2"/>
      <c r="E420" s="2"/>
      <c r="F420" s="2"/>
      <c r="G420" s="2" t="s">
        <v>2462</v>
      </c>
      <c r="H420" s="71" t="s">
        <v>2999</v>
      </c>
      <c r="I420" s="95">
        <v>173</v>
      </c>
      <c r="J420" s="101" t="s">
        <v>2596</v>
      </c>
    </row>
    <row r="421" spans="1:10" x14ac:dyDescent="0.25">
      <c r="A421" s="21" t="s">
        <v>422</v>
      </c>
      <c r="B421" s="2">
        <v>12.8</v>
      </c>
      <c r="C421" s="2" t="s">
        <v>607</v>
      </c>
      <c r="D421" s="2"/>
      <c r="E421" s="2"/>
      <c r="F421" s="2"/>
      <c r="G421" s="2" t="s">
        <v>2398</v>
      </c>
      <c r="H421" s="71" t="s">
        <v>3000</v>
      </c>
      <c r="I421" s="95">
        <v>174</v>
      </c>
      <c r="J421" s="101" t="s">
        <v>2596</v>
      </c>
    </row>
    <row r="422" spans="1:10" x14ac:dyDescent="0.25">
      <c r="A422" s="21" t="s">
        <v>422</v>
      </c>
      <c r="B422" s="2">
        <v>12.9</v>
      </c>
      <c r="C422" s="2" t="s">
        <v>608</v>
      </c>
      <c r="D422" s="2"/>
      <c r="E422" s="2"/>
      <c r="F422" s="2"/>
      <c r="G422" s="2" t="s">
        <v>2399</v>
      </c>
      <c r="H422" s="71" t="s">
        <v>3001</v>
      </c>
      <c r="I422" s="95">
        <v>175</v>
      </c>
      <c r="J422" s="101" t="s">
        <v>2596</v>
      </c>
    </row>
    <row r="423" spans="1:10" x14ac:dyDescent="0.25">
      <c r="A423" s="21" t="s">
        <v>422</v>
      </c>
      <c r="B423" s="5" t="s">
        <v>599</v>
      </c>
      <c r="C423" s="2" t="s">
        <v>609</v>
      </c>
      <c r="D423" s="2"/>
      <c r="E423" s="2"/>
      <c r="F423" s="2"/>
      <c r="G423" s="2" t="s">
        <v>2400</v>
      </c>
      <c r="H423" s="71" t="s">
        <v>3002</v>
      </c>
      <c r="I423" s="95">
        <v>176</v>
      </c>
      <c r="J423" s="101" t="s">
        <v>2596</v>
      </c>
    </row>
    <row r="424" spans="1:10" x14ac:dyDescent="0.25">
      <c r="A424" s="21" t="s">
        <v>422</v>
      </c>
      <c r="B424" s="2">
        <v>12.11</v>
      </c>
      <c r="C424" s="2" t="s">
        <v>612</v>
      </c>
      <c r="D424" s="2"/>
      <c r="E424" s="2"/>
      <c r="F424" s="2"/>
      <c r="G424" s="2" t="s">
        <v>2401</v>
      </c>
      <c r="H424" s="71" t="s">
        <v>3003</v>
      </c>
      <c r="I424" s="95">
        <v>177</v>
      </c>
      <c r="J424" s="101" t="s">
        <v>2596</v>
      </c>
    </row>
    <row r="425" spans="1:10" x14ac:dyDescent="0.25">
      <c r="A425" s="21" t="s">
        <v>422</v>
      </c>
      <c r="B425" s="2">
        <v>12.13</v>
      </c>
      <c r="C425" s="2" t="s">
        <v>610</v>
      </c>
      <c r="D425" s="2"/>
      <c r="E425" s="2"/>
      <c r="F425" s="2"/>
      <c r="G425" s="2" t="s">
        <v>2415</v>
      </c>
      <c r="H425" s="71" t="s">
        <v>3004</v>
      </c>
      <c r="I425" s="95">
        <v>178</v>
      </c>
      <c r="J425" s="101" t="s">
        <v>2596</v>
      </c>
    </row>
    <row r="426" spans="1:10" x14ac:dyDescent="0.25">
      <c r="A426" s="21" t="s">
        <v>422</v>
      </c>
      <c r="B426" s="2">
        <v>12.14</v>
      </c>
      <c r="C426" s="2" t="s">
        <v>611</v>
      </c>
      <c r="D426" s="2"/>
      <c r="E426" s="2"/>
      <c r="F426" s="2"/>
      <c r="G426" s="2" t="s">
        <v>2416</v>
      </c>
      <c r="H426" s="71" t="s">
        <v>3005</v>
      </c>
      <c r="I426" s="95">
        <v>179</v>
      </c>
      <c r="J426" s="101" t="s">
        <v>2596</v>
      </c>
    </row>
    <row r="427" spans="1:10" x14ac:dyDescent="0.25">
      <c r="A427" s="21" t="s">
        <v>422</v>
      </c>
      <c r="B427" s="2">
        <v>15.12</v>
      </c>
      <c r="C427" s="2" t="s">
        <v>686</v>
      </c>
      <c r="D427" s="2"/>
      <c r="E427" s="2"/>
      <c r="F427" s="2"/>
      <c r="G427" s="2" t="s">
        <v>2463</v>
      </c>
      <c r="H427" s="71" t="s">
        <v>3006</v>
      </c>
      <c r="I427" s="95">
        <v>180</v>
      </c>
      <c r="J427" s="101" t="s">
        <v>2596</v>
      </c>
    </row>
    <row r="428" spans="1:10" x14ac:dyDescent="0.25">
      <c r="A428" s="21" t="s">
        <v>422</v>
      </c>
      <c r="B428" s="2">
        <v>13</v>
      </c>
      <c r="C428" s="2" t="s">
        <v>486</v>
      </c>
      <c r="D428" s="2"/>
      <c r="E428" s="2"/>
      <c r="F428" s="2"/>
      <c r="G428" s="2" t="s">
        <v>2366</v>
      </c>
      <c r="H428" s="71" t="s">
        <v>3007</v>
      </c>
      <c r="I428" s="95">
        <v>181</v>
      </c>
      <c r="J428" s="101" t="s">
        <v>2596</v>
      </c>
    </row>
    <row r="429" spans="1:10" x14ac:dyDescent="0.25">
      <c r="A429" s="21" t="s">
        <v>422</v>
      </c>
      <c r="B429" s="2">
        <v>13.1</v>
      </c>
      <c r="C429" s="2" t="s">
        <v>613</v>
      </c>
      <c r="D429" s="2"/>
      <c r="E429" s="2"/>
      <c r="F429" s="2"/>
      <c r="G429" s="2" t="s">
        <v>2393</v>
      </c>
      <c r="H429" s="71" t="s">
        <v>3008</v>
      </c>
      <c r="I429" s="95">
        <v>182</v>
      </c>
      <c r="J429" s="101" t="s">
        <v>2596</v>
      </c>
    </row>
    <row r="430" spans="1:10" x14ac:dyDescent="0.25">
      <c r="A430" s="21" t="s">
        <v>422</v>
      </c>
      <c r="B430" s="2">
        <v>13.2</v>
      </c>
      <c r="C430" s="2" t="s">
        <v>614</v>
      </c>
      <c r="D430" s="2"/>
      <c r="E430" s="2"/>
      <c r="F430" s="2"/>
      <c r="G430" s="2" t="s">
        <v>2355</v>
      </c>
      <c r="H430" s="71" t="s">
        <v>3009</v>
      </c>
      <c r="I430" s="95">
        <v>183</v>
      </c>
      <c r="J430" s="101" t="s">
        <v>2596</v>
      </c>
    </row>
    <row r="431" spans="1:10" x14ac:dyDescent="0.25">
      <c r="A431" s="21" t="s">
        <v>422</v>
      </c>
      <c r="B431" s="2">
        <v>13.3</v>
      </c>
      <c r="C431" s="2" t="s">
        <v>615</v>
      </c>
      <c r="D431" s="2"/>
      <c r="E431" s="2"/>
      <c r="F431" s="2"/>
      <c r="G431" s="2" t="s">
        <v>2369</v>
      </c>
      <c r="H431" s="71" t="s">
        <v>3010</v>
      </c>
      <c r="I431" s="95">
        <v>184</v>
      </c>
      <c r="J431" s="101" t="s">
        <v>2596</v>
      </c>
    </row>
    <row r="432" spans="1:10" x14ac:dyDescent="0.25">
      <c r="A432" s="21" t="s">
        <v>422</v>
      </c>
      <c r="B432" s="2">
        <v>13.4</v>
      </c>
      <c r="C432" s="2" t="s">
        <v>616</v>
      </c>
      <c r="D432" s="2"/>
      <c r="E432" s="2"/>
      <c r="F432" s="2"/>
      <c r="G432" s="2" t="s">
        <v>2464</v>
      </c>
      <c r="H432" s="71" t="s">
        <v>3011</v>
      </c>
      <c r="I432" s="95">
        <v>185</v>
      </c>
      <c r="J432" s="101" t="s">
        <v>2596</v>
      </c>
    </row>
    <row r="433" spans="1:10" x14ac:dyDescent="0.25">
      <c r="A433" s="21" t="s">
        <v>422</v>
      </c>
      <c r="B433" s="2">
        <v>13.5</v>
      </c>
      <c r="C433" s="2" t="s">
        <v>617</v>
      </c>
      <c r="D433" s="2"/>
      <c r="E433" s="2"/>
      <c r="F433" s="2"/>
      <c r="G433" s="2" t="s">
        <v>2465</v>
      </c>
      <c r="H433" s="71" t="s">
        <v>3012</v>
      </c>
      <c r="I433" s="95">
        <v>186</v>
      </c>
      <c r="J433" s="101" t="s">
        <v>2596</v>
      </c>
    </row>
    <row r="434" spans="1:10" x14ac:dyDescent="0.25">
      <c r="A434" s="21" t="s">
        <v>422</v>
      </c>
      <c r="B434" s="2">
        <v>13.6</v>
      </c>
      <c r="C434" s="2" t="s">
        <v>618</v>
      </c>
      <c r="D434" s="2"/>
      <c r="E434" s="2"/>
      <c r="F434" s="2"/>
      <c r="G434" s="2" t="s">
        <v>2384</v>
      </c>
      <c r="H434" s="71" t="s">
        <v>3013</v>
      </c>
      <c r="I434" s="95">
        <v>187</v>
      </c>
      <c r="J434" s="101" t="s">
        <v>2596</v>
      </c>
    </row>
    <row r="435" spans="1:10" x14ac:dyDescent="0.25">
      <c r="A435" s="21" t="s">
        <v>422</v>
      </c>
      <c r="B435" s="2">
        <v>13.7</v>
      </c>
      <c r="C435" s="2" t="s">
        <v>487</v>
      </c>
      <c r="D435" s="2"/>
      <c r="E435" s="2"/>
      <c r="F435" s="2"/>
      <c r="G435" s="2" t="s">
        <v>2385</v>
      </c>
      <c r="H435" s="71" t="s">
        <v>3014</v>
      </c>
      <c r="I435" s="95">
        <v>188</v>
      </c>
      <c r="J435" s="101" t="s">
        <v>2596</v>
      </c>
    </row>
    <row r="436" spans="1:10" x14ac:dyDescent="0.25">
      <c r="A436" s="21" t="s">
        <v>422</v>
      </c>
      <c r="B436" s="2">
        <v>13.8</v>
      </c>
      <c r="C436" s="2" t="s">
        <v>619</v>
      </c>
      <c r="D436" s="2"/>
      <c r="E436" s="2"/>
      <c r="F436" s="2"/>
      <c r="G436" s="2" t="s">
        <v>2386</v>
      </c>
      <c r="H436" s="71" t="s">
        <v>3015</v>
      </c>
      <c r="I436" s="95">
        <v>189</v>
      </c>
      <c r="J436" s="101" t="s">
        <v>2596</v>
      </c>
    </row>
    <row r="437" spans="1:10" x14ac:dyDescent="0.25">
      <c r="A437" s="21" t="s">
        <v>422</v>
      </c>
      <c r="B437" s="2">
        <v>13.9</v>
      </c>
      <c r="C437" s="2" t="s">
        <v>620</v>
      </c>
      <c r="D437" s="2"/>
      <c r="E437" s="2"/>
      <c r="F437" s="2"/>
      <c r="G437" s="2" t="s">
        <v>2387</v>
      </c>
      <c r="H437" s="71" t="s">
        <v>3016</v>
      </c>
      <c r="I437" s="95">
        <v>190</v>
      </c>
      <c r="J437" s="101" t="s">
        <v>2596</v>
      </c>
    </row>
    <row r="438" spans="1:10" x14ac:dyDescent="0.25">
      <c r="A438" s="21" t="s">
        <v>422</v>
      </c>
      <c r="B438" s="5" t="s">
        <v>624</v>
      </c>
      <c r="C438" s="2" t="s">
        <v>621</v>
      </c>
      <c r="D438" s="2"/>
      <c r="E438" s="2"/>
      <c r="F438" s="2"/>
      <c r="G438" s="2" t="s">
        <v>2388</v>
      </c>
      <c r="H438" s="71" t="s">
        <v>3017</v>
      </c>
      <c r="I438" s="95">
        <v>191</v>
      </c>
      <c r="J438" s="101" t="s">
        <v>2596</v>
      </c>
    </row>
    <row r="439" spans="1:10" x14ac:dyDescent="0.25">
      <c r="A439" s="21" t="s">
        <v>422</v>
      </c>
      <c r="B439" s="2">
        <v>13.11</v>
      </c>
      <c r="C439" s="2" t="s">
        <v>622</v>
      </c>
      <c r="D439" s="2"/>
      <c r="E439" s="2"/>
      <c r="F439" s="2"/>
      <c r="G439" s="2" t="s">
        <v>2389</v>
      </c>
      <c r="H439" s="71" t="s">
        <v>3018</v>
      </c>
      <c r="I439" s="95">
        <v>192</v>
      </c>
      <c r="J439" s="101" t="s">
        <v>2596</v>
      </c>
    </row>
    <row r="440" spans="1:10" x14ac:dyDescent="0.25">
      <c r="A440" s="21" t="s">
        <v>422</v>
      </c>
      <c r="B440" s="2">
        <v>13.12</v>
      </c>
      <c r="C440" s="2" t="s">
        <v>625</v>
      </c>
      <c r="D440" s="2"/>
      <c r="E440" s="2"/>
      <c r="F440" s="2"/>
      <c r="G440" s="2" t="s">
        <v>2390</v>
      </c>
      <c r="H440" s="71" t="s">
        <v>3019</v>
      </c>
      <c r="I440" s="95">
        <v>193</v>
      </c>
      <c r="J440" s="101" t="s">
        <v>2596</v>
      </c>
    </row>
    <row r="441" spans="1:10" x14ac:dyDescent="0.25">
      <c r="A441" s="21" t="s">
        <v>422</v>
      </c>
      <c r="B441" s="2">
        <v>13.14</v>
      </c>
      <c r="C441" s="2" t="s">
        <v>623</v>
      </c>
      <c r="D441" s="2"/>
      <c r="E441" s="2"/>
      <c r="F441" s="2"/>
      <c r="G441" s="2" t="s">
        <v>2404</v>
      </c>
      <c r="H441" s="71" t="s">
        <v>3020</v>
      </c>
      <c r="I441" s="95">
        <v>194</v>
      </c>
      <c r="J441" s="101" t="s">
        <v>2596</v>
      </c>
    </row>
    <row r="442" spans="1:10" x14ac:dyDescent="0.25">
      <c r="A442" s="21" t="s">
        <v>422</v>
      </c>
      <c r="B442" s="2">
        <v>15.13</v>
      </c>
      <c r="C442" s="2" t="s">
        <v>687</v>
      </c>
      <c r="D442" s="2"/>
      <c r="E442" s="2"/>
      <c r="F442" s="2"/>
      <c r="G442" s="2" t="s">
        <v>2466</v>
      </c>
      <c r="H442" s="71" t="s">
        <v>3021</v>
      </c>
      <c r="I442" s="95">
        <v>195</v>
      </c>
      <c r="J442" s="101" t="s">
        <v>2596</v>
      </c>
    </row>
    <row r="443" spans="1:10" x14ac:dyDescent="0.25">
      <c r="A443" s="21" t="s">
        <v>422</v>
      </c>
      <c r="B443" s="2">
        <v>14</v>
      </c>
      <c r="C443" s="2" t="s">
        <v>496</v>
      </c>
      <c r="D443" s="2"/>
      <c r="E443" s="2"/>
      <c r="F443" s="2"/>
      <c r="G443" s="2" t="s">
        <v>2367</v>
      </c>
      <c r="H443" s="71" t="s">
        <v>3022</v>
      </c>
      <c r="I443" s="95">
        <v>196</v>
      </c>
      <c r="J443" s="101" t="s">
        <v>2596</v>
      </c>
    </row>
    <row r="444" spans="1:10" x14ac:dyDescent="0.25">
      <c r="A444" s="21" t="s">
        <v>422</v>
      </c>
      <c r="B444" s="2">
        <v>14.1</v>
      </c>
      <c r="C444" s="2" t="s">
        <v>626</v>
      </c>
      <c r="D444" s="2"/>
      <c r="E444" s="2"/>
      <c r="F444" s="2"/>
      <c r="G444" s="2" t="s">
        <v>2354</v>
      </c>
      <c r="H444" s="71" t="s">
        <v>3023</v>
      </c>
      <c r="I444" s="95">
        <v>197</v>
      </c>
      <c r="J444" s="101" t="s">
        <v>2596</v>
      </c>
    </row>
    <row r="445" spans="1:10" x14ac:dyDescent="0.25">
      <c r="A445" s="21" t="s">
        <v>422</v>
      </c>
      <c r="B445" s="2">
        <v>14.2</v>
      </c>
      <c r="C445" s="2" t="s">
        <v>627</v>
      </c>
      <c r="D445" s="2"/>
      <c r="E445" s="2"/>
      <c r="F445" s="2"/>
      <c r="G445" s="2" t="s">
        <v>2355</v>
      </c>
      <c r="H445" s="71" t="s">
        <v>3024</v>
      </c>
      <c r="I445" s="95">
        <v>198</v>
      </c>
      <c r="J445" s="101" t="s">
        <v>2596</v>
      </c>
    </row>
    <row r="446" spans="1:10" x14ac:dyDescent="0.25">
      <c r="A446" s="21" t="s">
        <v>422</v>
      </c>
      <c r="B446" s="2">
        <v>14.3</v>
      </c>
      <c r="C446" s="2" t="s">
        <v>628</v>
      </c>
      <c r="D446" s="2"/>
      <c r="E446" s="2"/>
      <c r="F446" s="2"/>
      <c r="G446" s="2" t="s">
        <v>2356</v>
      </c>
      <c r="H446" s="71" t="s">
        <v>3025</v>
      </c>
      <c r="I446" s="95">
        <v>199</v>
      </c>
      <c r="J446" s="101" t="s">
        <v>2596</v>
      </c>
    </row>
    <row r="447" spans="1:10" x14ac:dyDescent="0.25">
      <c r="A447" s="21" t="s">
        <v>422</v>
      </c>
      <c r="B447" s="2">
        <v>14.4</v>
      </c>
      <c r="C447" s="2" t="s">
        <v>629</v>
      </c>
      <c r="D447" s="2"/>
      <c r="E447" s="2"/>
      <c r="F447" s="2"/>
      <c r="G447" s="2" t="s">
        <v>2357</v>
      </c>
      <c r="H447" s="71" t="s">
        <v>3026</v>
      </c>
      <c r="I447" s="95">
        <v>200</v>
      </c>
      <c r="J447" s="101" t="s">
        <v>2596</v>
      </c>
    </row>
    <row r="448" spans="1:10" x14ac:dyDescent="0.25">
      <c r="A448" s="21" t="s">
        <v>422</v>
      </c>
      <c r="B448" s="2">
        <v>14.5</v>
      </c>
      <c r="C448" s="2" t="s">
        <v>630</v>
      </c>
      <c r="D448" s="2"/>
      <c r="E448" s="2"/>
      <c r="F448" s="2"/>
      <c r="G448" s="2" t="s">
        <v>2358</v>
      </c>
      <c r="H448" s="71" t="s">
        <v>3027</v>
      </c>
      <c r="I448" s="95">
        <v>201</v>
      </c>
      <c r="J448" s="101" t="s">
        <v>2596</v>
      </c>
    </row>
    <row r="449" spans="1:10" x14ac:dyDescent="0.25">
      <c r="A449" s="21" t="s">
        <v>422</v>
      </c>
      <c r="B449" s="2">
        <v>14.6</v>
      </c>
      <c r="C449" s="2" t="s">
        <v>497</v>
      </c>
      <c r="D449" s="2"/>
      <c r="E449" s="2"/>
      <c r="F449" s="2"/>
      <c r="G449" s="2" t="s">
        <v>2359</v>
      </c>
      <c r="H449" s="71" t="s">
        <v>3028</v>
      </c>
      <c r="I449" s="95">
        <v>202</v>
      </c>
      <c r="J449" s="101" t="s">
        <v>2596</v>
      </c>
    </row>
    <row r="450" spans="1:10" x14ac:dyDescent="0.25">
      <c r="A450" s="21" t="s">
        <v>422</v>
      </c>
      <c r="B450" s="2">
        <v>14.7</v>
      </c>
      <c r="C450" s="2" t="s">
        <v>498</v>
      </c>
      <c r="D450" s="2"/>
      <c r="E450" s="2"/>
      <c r="F450" s="2"/>
      <c r="G450" s="2" t="s">
        <v>2360</v>
      </c>
      <c r="H450" s="71" t="s">
        <v>3029</v>
      </c>
      <c r="I450" s="95">
        <v>203</v>
      </c>
      <c r="J450" s="101" t="s">
        <v>2596</v>
      </c>
    </row>
    <row r="451" spans="1:10" x14ac:dyDescent="0.25">
      <c r="A451" s="21" t="s">
        <v>422</v>
      </c>
      <c r="B451" s="2">
        <v>14.8</v>
      </c>
      <c r="C451" s="2" t="s">
        <v>512</v>
      </c>
      <c r="D451" s="2"/>
      <c r="E451" s="2"/>
      <c r="F451" s="2"/>
      <c r="G451" s="2" t="s">
        <v>2361</v>
      </c>
      <c r="H451" s="71" t="s">
        <v>3030</v>
      </c>
      <c r="I451" s="95">
        <v>204</v>
      </c>
      <c r="J451" s="101" t="s">
        <v>2596</v>
      </c>
    </row>
    <row r="452" spans="1:10" x14ac:dyDescent="0.25">
      <c r="A452" s="21" t="s">
        <v>422</v>
      </c>
      <c r="B452" s="2">
        <v>14.9</v>
      </c>
      <c r="C452" s="2" t="s">
        <v>631</v>
      </c>
      <c r="D452" s="2"/>
      <c r="E452" s="2"/>
      <c r="F452" s="2"/>
      <c r="G452" s="2" t="s">
        <v>2362</v>
      </c>
      <c r="H452" s="71" t="s">
        <v>3031</v>
      </c>
      <c r="I452" s="95">
        <v>205</v>
      </c>
      <c r="J452" s="101" t="s">
        <v>2596</v>
      </c>
    </row>
    <row r="453" spans="1:10" x14ac:dyDescent="0.25">
      <c r="A453" s="21" t="s">
        <v>422</v>
      </c>
      <c r="B453" s="5" t="s">
        <v>635</v>
      </c>
      <c r="C453" s="2" t="s">
        <v>632</v>
      </c>
      <c r="D453" s="2"/>
      <c r="E453" s="2"/>
      <c r="F453" s="2"/>
      <c r="G453" s="2" t="s">
        <v>2363</v>
      </c>
      <c r="H453" s="71" t="s">
        <v>3032</v>
      </c>
      <c r="I453" s="95">
        <v>206</v>
      </c>
      <c r="J453" s="101" t="s">
        <v>2596</v>
      </c>
    </row>
    <row r="454" spans="1:10" x14ac:dyDescent="0.25">
      <c r="A454" s="21" t="s">
        <v>422</v>
      </c>
      <c r="B454" s="2">
        <v>14.11</v>
      </c>
      <c r="C454" s="2" t="s">
        <v>633</v>
      </c>
      <c r="D454" s="2"/>
      <c r="E454" s="2"/>
      <c r="F454" s="2"/>
      <c r="G454" s="2" t="s">
        <v>2364</v>
      </c>
      <c r="H454" s="71" t="s">
        <v>3033</v>
      </c>
      <c r="I454" s="95">
        <v>207</v>
      </c>
      <c r="J454" s="101" t="s">
        <v>2596</v>
      </c>
    </row>
    <row r="455" spans="1:10" x14ac:dyDescent="0.25">
      <c r="A455" s="21" t="s">
        <v>422</v>
      </c>
      <c r="B455" s="2">
        <v>14.12</v>
      </c>
      <c r="C455" s="2" t="s">
        <v>634</v>
      </c>
      <c r="D455" s="2"/>
      <c r="E455" s="2"/>
      <c r="F455" s="2"/>
      <c r="G455" s="2" t="s">
        <v>2365</v>
      </c>
      <c r="H455" s="71" t="s">
        <v>3034</v>
      </c>
      <c r="I455" s="95">
        <v>208</v>
      </c>
      <c r="J455" s="101" t="s">
        <v>2596</v>
      </c>
    </row>
    <row r="456" spans="1:10" x14ac:dyDescent="0.25">
      <c r="A456" s="21" t="s">
        <v>422</v>
      </c>
      <c r="B456" s="2">
        <v>14.13</v>
      </c>
      <c r="C456" s="2" t="s">
        <v>636</v>
      </c>
      <c r="D456" s="2"/>
      <c r="E456" s="2"/>
      <c r="F456" s="2"/>
      <c r="G456" s="2" t="s">
        <v>2366</v>
      </c>
      <c r="H456" s="71" t="s">
        <v>3035</v>
      </c>
      <c r="I456" s="95">
        <v>209</v>
      </c>
      <c r="J456" s="101" t="s">
        <v>2596</v>
      </c>
    </row>
    <row r="457" spans="1:10" x14ac:dyDescent="0.25">
      <c r="A457" s="21" t="s">
        <v>422</v>
      </c>
      <c r="B457" s="2">
        <v>15.14</v>
      </c>
      <c r="C457" s="2" t="s">
        <v>688</v>
      </c>
      <c r="D457" s="2"/>
      <c r="E457" s="2"/>
      <c r="F457" s="2"/>
      <c r="G457" s="2" t="s">
        <v>2368</v>
      </c>
      <c r="H457" s="71" t="s">
        <v>3036</v>
      </c>
      <c r="I457" s="95">
        <v>210</v>
      </c>
      <c r="J457" s="101" t="s">
        <v>2596</v>
      </c>
    </row>
    <row r="458" spans="1:10" x14ac:dyDescent="0.25">
      <c r="A458" s="21" t="s">
        <v>422</v>
      </c>
      <c r="B458" s="2">
        <v>15</v>
      </c>
      <c r="C458" s="2" t="s">
        <v>661</v>
      </c>
      <c r="D458" s="2"/>
      <c r="E458" s="2"/>
      <c r="F458" s="2"/>
      <c r="G458" s="2" t="s">
        <v>2368</v>
      </c>
      <c r="H458" s="71" t="s">
        <v>3037</v>
      </c>
      <c r="I458" s="95">
        <v>211</v>
      </c>
      <c r="J458" s="101" t="s">
        <v>2596</v>
      </c>
    </row>
    <row r="459" spans="1:10" x14ac:dyDescent="0.25">
      <c r="A459" s="21" t="s">
        <v>422</v>
      </c>
      <c r="B459" s="2">
        <v>15.1</v>
      </c>
      <c r="C459" s="2" t="s">
        <v>662</v>
      </c>
      <c r="D459" s="2"/>
      <c r="E459" s="2"/>
      <c r="F459" s="2"/>
      <c r="G459" s="2" t="s">
        <v>2354</v>
      </c>
      <c r="H459" s="71" t="s">
        <v>3038</v>
      </c>
      <c r="I459" s="95">
        <v>212</v>
      </c>
      <c r="J459" s="101" t="s">
        <v>2596</v>
      </c>
    </row>
    <row r="460" spans="1:10" x14ac:dyDescent="0.25">
      <c r="A460" s="21" t="s">
        <v>422</v>
      </c>
      <c r="B460" s="2">
        <v>15.2</v>
      </c>
      <c r="C460" s="2" t="s">
        <v>663</v>
      </c>
      <c r="D460" s="2"/>
      <c r="E460" s="2"/>
      <c r="F460" s="2"/>
      <c r="G460" s="2" t="s">
        <v>2355</v>
      </c>
      <c r="H460" s="71" t="s">
        <v>3039</v>
      </c>
      <c r="I460" s="95">
        <v>213</v>
      </c>
      <c r="J460" s="101" t="s">
        <v>2596</v>
      </c>
    </row>
    <row r="461" spans="1:10" x14ac:dyDescent="0.25">
      <c r="A461" s="21" t="s">
        <v>422</v>
      </c>
      <c r="B461" s="2">
        <v>15.3</v>
      </c>
      <c r="C461" s="2" t="s">
        <v>664</v>
      </c>
      <c r="D461" s="2"/>
      <c r="E461" s="2"/>
      <c r="F461" s="2"/>
      <c r="G461" s="2" t="s">
        <v>2356</v>
      </c>
      <c r="H461" s="71" t="s">
        <v>3040</v>
      </c>
      <c r="I461" s="95">
        <v>214</v>
      </c>
      <c r="J461" s="101" t="s">
        <v>2596</v>
      </c>
    </row>
    <row r="462" spans="1:10" x14ac:dyDescent="0.25">
      <c r="A462" s="21" t="s">
        <v>422</v>
      </c>
      <c r="B462" s="2">
        <v>15.4</v>
      </c>
      <c r="C462" s="2" t="s">
        <v>665</v>
      </c>
      <c r="D462" s="2"/>
      <c r="E462" s="2"/>
      <c r="F462" s="2"/>
      <c r="G462" s="2" t="s">
        <v>2357</v>
      </c>
      <c r="H462" s="71" t="s">
        <v>3041</v>
      </c>
      <c r="I462" s="95">
        <v>215</v>
      </c>
      <c r="J462" s="101" t="s">
        <v>2596</v>
      </c>
    </row>
    <row r="463" spans="1:10" x14ac:dyDescent="0.25">
      <c r="A463" s="21" t="s">
        <v>422</v>
      </c>
      <c r="B463" s="2">
        <v>15.5</v>
      </c>
      <c r="C463" s="2" t="s">
        <v>666</v>
      </c>
      <c r="D463" s="2"/>
      <c r="E463" s="2"/>
      <c r="F463" s="2"/>
      <c r="G463" s="2" t="s">
        <v>2358</v>
      </c>
      <c r="H463" s="71" t="s">
        <v>3042</v>
      </c>
      <c r="I463" s="95">
        <v>216</v>
      </c>
      <c r="J463" s="101" t="s">
        <v>2596</v>
      </c>
    </row>
    <row r="464" spans="1:10" x14ac:dyDescent="0.25">
      <c r="A464" s="21" t="s">
        <v>422</v>
      </c>
      <c r="B464" s="2">
        <v>15.6</v>
      </c>
      <c r="C464" s="2" t="s">
        <v>667</v>
      </c>
      <c r="D464" s="2"/>
      <c r="E464" s="2"/>
      <c r="F464" s="2"/>
      <c r="G464" s="2" t="s">
        <v>2359</v>
      </c>
      <c r="H464" s="71" t="s">
        <v>3043</v>
      </c>
      <c r="I464" s="95">
        <v>217</v>
      </c>
      <c r="J464" s="101" t="s">
        <v>2596</v>
      </c>
    </row>
    <row r="465" spans="1:10" x14ac:dyDescent="0.25">
      <c r="A465" s="21" t="s">
        <v>422</v>
      </c>
      <c r="B465" s="2">
        <v>15.7</v>
      </c>
      <c r="C465" s="2" t="s">
        <v>668</v>
      </c>
      <c r="D465" s="2"/>
      <c r="E465" s="2"/>
      <c r="F465" s="2"/>
      <c r="G465" s="2" t="s">
        <v>2360</v>
      </c>
      <c r="H465" s="71" t="s">
        <v>3044</v>
      </c>
      <c r="I465" s="95">
        <v>218</v>
      </c>
      <c r="J465" s="101" t="s">
        <v>2596</v>
      </c>
    </row>
    <row r="466" spans="1:10" x14ac:dyDescent="0.25">
      <c r="A466" s="21" t="s">
        <v>422</v>
      </c>
      <c r="B466" s="2">
        <v>15.8</v>
      </c>
      <c r="C466" s="2" t="s">
        <v>669</v>
      </c>
      <c r="D466" s="2"/>
      <c r="E466" s="2"/>
      <c r="F466" s="2"/>
      <c r="G466" s="2" t="s">
        <v>2361</v>
      </c>
      <c r="H466" s="71" t="s">
        <v>3045</v>
      </c>
      <c r="I466" s="95">
        <v>219</v>
      </c>
      <c r="J466" s="101" t="s">
        <v>2596</v>
      </c>
    </row>
    <row r="467" spans="1:10" x14ac:dyDescent="0.25">
      <c r="A467" s="21" t="s">
        <v>422</v>
      </c>
      <c r="B467" s="2">
        <v>15.9</v>
      </c>
      <c r="C467" s="2" t="s">
        <v>670</v>
      </c>
      <c r="D467" s="2"/>
      <c r="E467" s="2"/>
      <c r="F467" s="2"/>
      <c r="G467" s="2" t="s">
        <v>2362</v>
      </c>
      <c r="H467" s="71" t="s">
        <v>3046</v>
      </c>
      <c r="I467" s="95">
        <v>220</v>
      </c>
      <c r="J467" s="101" t="s">
        <v>2596</v>
      </c>
    </row>
    <row r="468" spans="1:10" x14ac:dyDescent="0.25">
      <c r="A468" s="21" t="s">
        <v>422</v>
      </c>
      <c r="B468" s="5">
        <v>15.1</v>
      </c>
      <c r="C468" s="2" t="s">
        <v>671</v>
      </c>
      <c r="D468" s="2"/>
      <c r="E468" s="2"/>
      <c r="F468" s="2"/>
      <c r="G468" s="2" t="s">
        <v>2363</v>
      </c>
      <c r="H468" s="71" t="s">
        <v>3047</v>
      </c>
      <c r="I468" s="95">
        <v>221</v>
      </c>
      <c r="J468" s="101" t="s">
        <v>2596</v>
      </c>
    </row>
    <row r="469" spans="1:10" x14ac:dyDescent="0.25">
      <c r="A469" s="21" t="s">
        <v>422</v>
      </c>
      <c r="B469" s="2">
        <v>15.11</v>
      </c>
      <c r="C469" s="2" t="s">
        <v>672</v>
      </c>
      <c r="D469" s="2"/>
      <c r="E469" s="2"/>
      <c r="F469" s="2"/>
      <c r="G469" s="2" t="s">
        <v>2364</v>
      </c>
      <c r="H469" s="71" t="s">
        <v>3048</v>
      </c>
      <c r="I469" s="95">
        <v>222</v>
      </c>
      <c r="J469" s="101" t="s">
        <v>2596</v>
      </c>
    </row>
    <row r="470" spans="1:10" x14ac:dyDescent="0.25">
      <c r="A470" s="21" t="s">
        <v>422</v>
      </c>
      <c r="B470" s="2">
        <v>15.12</v>
      </c>
      <c r="C470" s="2" t="s">
        <v>673</v>
      </c>
      <c r="D470" s="2"/>
      <c r="E470" s="2"/>
      <c r="F470" s="2"/>
      <c r="G470" s="2" t="s">
        <v>2365</v>
      </c>
      <c r="H470" s="71" t="s">
        <v>3049</v>
      </c>
      <c r="I470" s="95">
        <v>223</v>
      </c>
      <c r="J470" s="101" t="s">
        <v>2596</v>
      </c>
    </row>
    <row r="471" spans="1:10" x14ac:dyDescent="0.25">
      <c r="A471" s="21" t="s">
        <v>422</v>
      </c>
      <c r="B471" s="2">
        <v>15.13</v>
      </c>
      <c r="C471" s="2" t="s">
        <v>674</v>
      </c>
      <c r="D471" s="2"/>
      <c r="E471" s="2"/>
      <c r="F471" s="2"/>
      <c r="G471" s="2" t="s">
        <v>2366</v>
      </c>
      <c r="H471" s="71" t="s">
        <v>3050</v>
      </c>
      <c r="I471" s="95">
        <v>224</v>
      </c>
      <c r="J471" s="101" t="s">
        <v>2596</v>
      </c>
    </row>
    <row r="472" spans="1:10" x14ac:dyDescent="0.25">
      <c r="A472" s="21" t="s">
        <v>422</v>
      </c>
      <c r="B472" s="2">
        <v>20</v>
      </c>
      <c r="C472" s="2" t="s">
        <v>653</v>
      </c>
      <c r="D472" s="12"/>
      <c r="E472" s="2"/>
      <c r="F472" s="2"/>
      <c r="G472" s="2" t="s">
        <v>2467</v>
      </c>
      <c r="H472" s="71" t="s">
        <v>3051</v>
      </c>
      <c r="I472" s="95">
        <v>225</v>
      </c>
      <c r="J472" s="101" t="s">
        <v>2596</v>
      </c>
    </row>
    <row r="473" spans="1:10" x14ac:dyDescent="0.25">
      <c r="A473" s="21" t="s">
        <v>422</v>
      </c>
      <c r="B473" s="2" t="s">
        <v>746</v>
      </c>
      <c r="C473" s="2" t="s">
        <v>697</v>
      </c>
      <c r="D473" s="12"/>
      <c r="E473" s="2"/>
      <c r="F473" s="2"/>
      <c r="G473" s="2" t="s">
        <v>2468</v>
      </c>
      <c r="H473" s="71" t="s">
        <v>3052</v>
      </c>
      <c r="I473" s="95">
        <v>226</v>
      </c>
      <c r="J473" s="101" t="s">
        <v>2596</v>
      </c>
    </row>
    <row r="474" spans="1:10" x14ac:dyDescent="0.25">
      <c r="A474" s="21" t="s">
        <v>422</v>
      </c>
      <c r="B474" s="2" t="s">
        <v>747</v>
      </c>
      <c r="C474" s="2" t="s">
        <v>703</v>
      </c>
      <c r="D474" s="12"/>
      <c r="E474" s="2"/>
      <c r="F474" s="2"/>
      <c r="G474" s="2" t="s">
        <v>2469</v>
      </c>
      <c r="H474" s="71" t="s">
        <v>3053</v>
      </c>
      <c r="I474" s="95">
        <v>227</v>
      </c>
      <c r="J474" s="101" t="s">
        <v>2596</v>
      </c>
    </row>
    <row r="475" spans="1:10" x14ac:dyDescent="0.25">
      <c r="A475" s="21" t="s">
        <v>422</v>
      </c>
      <c r="B475" s="2" t="s">
        <v>748</v>
      </c>
      <c r="C475" s="2" t="s">
        <v>710</v>
      </c>
      <c r="D475" s="12"/>
      <c r="E475" s="2"/>
      <c r="F475" s="2"/>
      <c r="G475" s="2" t="s">
        <v>2470</v>
      </c>
      <c r="H475" s="71" t="s">
        <v>3054</v>
      </c>
      <c r="I475" s="95">
        <v>228</v>
      </c>
      <c r="J475" s="101" t="s">
        <v>2596</v>
      </c>
    </row>
    <row r="476" spans="1:10" x14ac:dyDescent="0.25">
      <c r="A476" s="21" t="s">
        <v>422</v>
      </c>
      <c r="B476" s="2" t="s">
        <v>749</v>
      </c>
      <c r="C476" s="2" t="s">
        <v>717</v>
      </c>
      <c r="D476" s="12"/>
      <c r="E476" s="2"/>
      <c r="F476" s="2"/>
      <c r="G476" s="2" t="s">
        <v>2471</v>
      </c>
      <c r="H476" s="71" t="s">
        <v>3055</v>
      </c>
      <c r="I476" s="95">
        <v>229</v>
      </c>
      <c r="J476" s="101" t="s">
        <v>2596</v>
      </c>
    </row>
    <row r="477" spans="1:10" x14ac:dyDescent="0.25">
      <c r="A477" s="21" t="s">
        <v>422</v>
      </c>
      <c r="B477" s="2" t="s">
        <v>750</v>
      </c>
      <c r="C477" s="2" t="s">
        <v>724</v>
      </c>
      <c r="D477" s="12"/>
      <c r="E477" s="2"/>
      <c r="F477" s="2"/>
      <c r="G477" s="2" t="s">
        <v>2472</v>
      </c>
      <c r="H477" s="71" t="s">
        <v>3056</v>
      </c>
      <c r="I477" s="95">
        <v>230</v>
      </c>
      <c r="J477" s="101" t="s">
        <v>2596</v>
      </c>
    </row>
    <row r="478" spans="1:10" x14ac:dyDescent="0.25">
      <c r="A478" s="21" t="s">
        <v>422</v>
      </c>
      <c r="B478" s="2" t="s">
        <v>751</v>
      </c>
      <c r="C478" s="2" t="s">
        <v>732</v>
      </c>
      <c r="D478" s="12"/>
      <c r="E478" s="2"/>
      <c r="F478" s="2"/>
      <c r="G478" s="2" t="s">
        <v>2473</v>
      </c>
      <c r="H478" s="71" t="s">
        <v>3057</v>
      </c>
      <c r="I478" s="95">
        <v>231</v>
      </c>
      <c r="J478" s="101" t="s">
        <v>2596</v>
      </c>
    </row>
    <row r="479" spans="1:10" x14ac:dyDescent="0.25">
      <c r="A479" s="21" t="s">
        <v>422</v>
      </c>
      <c r="B479" s="2" t="s">
        <v>752</v>
      </c>
      <c r="C479" s="2" t="s">
        <v>739</v>
      </c>
      <c r="D479" s="12"/>
      <c r="E479" s="2"/>
      <c r="F479" s="2"/>
      <c r="G479" s="2" t="s">
        <v>2474</v>
      </c>
      <c r="H479" s="71" t="s">
        <v>3058</v>
      </c>
      <c r="I479" s="95">
        <v>232</v>
      </c>
      <c r="J479" s="101" t="s">
        <v>2596</v>
      </c>
    </row>
    <row r="480" spans="1:10" x14ac:dyDescent="0.25">
      <c r="A480" s="21" t="s">
        <v>422</v>
      </c>
      <c r="B480" s="2">
        <v>21</v>
      </c>
      <c r="C480" s="2" t="s">
        <v>657</v>
      </c>
      <c r="D480" s="12"/>
      <c r="E480" s="2"/>
      <c r="F480" s="2"/>
      <c r="G480" s="2" t="s">
        <v>2468</v>
      </c>
      <c r="H480" s="71" t="s">
        <v>3059</v>
      </c>
      <c r="I480" s="95">
        <v>233</v>
      </c>
      <c r="J480" s="101" t="s">
        <v>2596</v>
      </c>
    </row>
    <row r="481" spans="1:10" x14ac:dyDescent="0.25">
      <c r="A481" s="21" t="s">
        <v>422</v>
      </c>
      <c r="B481" s="2" t="s">
        <v>753</v>
      </c>
      <c r="C481" s="2" t="s">
        <v>690</v>
      </c>
      <c r="D481" s="12"/>
      <c r="E481" s="2"/>
      <c r="F481" s="2"/>
      <c r="G481" s="2" t="s">
        <v>2467</v>
      </c>
      <c r="H481" s="71" t="s">
        <v>3060</v>
      </c>
      <c r="I481" s="95">
        <v>234</v>
      </c>
      <c r="J481" s="101" t="s">
        <v>2596</v>
      </c>
    </row>
    <row r="482" spans="1:10" x14ac:dyDescent="0.25">
      <c r="A482" s="21" t="s">
        <v>422</v>
      </c>
      <c r="B482" s="2" t="s">
        <v>754</v>
      </c>
      <c r="C482" s="2" t="s">
        <v>704</v>
      </c>
      <c r="D482" s="12"/>
      <c r="E482" s="2"/>
      <c r="F482" s="2"/>
      <c r="G482" s="2" t="s">
        <v>2469</v>
      </c>
      <c r="H482" s="71" t="s">
        <v>3061</v>
      </c>
      <c r="I482" s="95">
        <v>235</v>
      </c>
      <c r="J482" s="101" t="s">
        <v>2596</v>
      </c>
    </row>
    <row r="483" spans="1:10" x14ac:dyDescent="0.25">
      <c r="A483" s="21" t="s">
        <v>422</v>
      </c>
      <c r="B483" s="2" t="s">
        <v>755</v>
      </c>
      <c r="C483" s="2" t="s">
        <v>711</v>
      </c>
      <c r="D483" s="12"/>
      <c r="E483" s="2"/>
      <c r="F483" s="2"/>
      <c r="G483" s="2" t="s">
        <v>2470</v>
      </c>
      <c r="H483" s="71" t="s">
        <v>3062</v>
      </c>
      <c r="I483" s="95">
        <v>236</v>
      </c>
      <c r="J483" s="101" t="s">
        <v>2596</v>
      </c>
    </row>
    <row r="484" spans="1:10" x14ac:dyDescent="0.25">
      <c r="A484" s="21" t="s">
        <v>422</v>
      </c>
      <c r="B484" s="2" t="s">
        <v>756</v>
      </c>
      <c r="C484" s="2" t="s">
        <v>718</v>
      </c>
      <c r="D484" s="12"/>
      <c r="E484" s="2"/>
      <c r="F484" s="2"/>
      <c r="G484" s="2" t="s">
        <v>2471</v>
      </c>
      <c r="H484" s="71" t="s">
        <v>3063</v>
      </c>
      <c r="I484" s="95">
        <v>237</v>
      </c>
      <c r="J484" s="101" t="s">
        <v>2596</v>
      </c>
    </row>
    <row r="485" spans="1:10" x14ac:dyDescent="0.25">
      <c r="A485" s="21" t="s">
        <v>422</v>
      </c>
      <c r="B485" s="2" t="s">
        <v>757</v>
      </c>
      <c r="C485" s="2" t="s">
        <v>725</v>
      </c>
      <c r="D485" s="12"/>
      <c r="E485" s="2"/>
      <c r="F485" s="2"/>
      <c r="G485" s="2" t="s">
        <v>2472</v>
      </c>
      <c r="H485" s="71" t="s">
        <v>3064</v>
      </c>
      <c r="I485" s="95">
        <v>238</v>
      </c>
      <c r="J485" s="101" t="s">
        <v>2596</v>
      </c>
    </row>
    <row r="486" spans="1:10" x14ac:dyDescent="0.25">
      <c r="A486" s="21" t="s">
        <v>422</v>
      </c>
      <c r="B486" s="2" t="s">
        <v>758</v>
      </c>
      <c r="C486" s="2" t="s">
        <v>733</v>
      </c>
      <c r="D486" s="12"/>
      <c r="E486" s="2"/>
      <c r="F486" s="2"/>
      <c r="G486" s="2" t="s">
        <v>2473</v>
      </c>
      <c r="H486" s="71" t="s">
        <v>3065</v>
      </c>
      <c r="I486" s="95">
        <v>239</v>
      </c>
      <c r="J486" s="101" t="s">
        <v>2596</v>
      </c>
    </row>
    <row r="487" spans="1:10" x14ac:dyDescent="0.25">
      <c r="A487" s="21" t="s">
        <v>422</v>
      </c>
      <c r="B487" s="2" t="s">
        <v>759</v>
      </c>
      <c r="C487" s="2" t="s">
        <v>740</v>
      </c>
      <c r="D487" s="12"/>
      <c r="E487" s="2"/>
      <c r="F487" s="2"/>
      <c r="G487" s="2" t="s">
        <v>2474</v>
      </c>
      <c r="H487" s="71" t="s">
        <v>3066</v>
      </c>
      <c r="I487" s="95">
        <v>240</v>
      </c>
      <c r="J487" s="101" t="s">
        <v>2596</v>
      </c>
    </row>
    <row r="488" spans="1:10" x14ac:dyDescent="0.25">
      <c r="A488" s="21" t="s">
        <v>422</v>
      </c>
      <c r="B488" s="2">
        <v>22</v>
      </c>
      <c r="C488" s="2" t="s">
        <v>654</v>
      </c>
      <c r="D488" s="12"/>
      <c r="E488" s="2"/>
      <c r="F488" s="2"/>
      <c r="G488" s="2" t="s">
        <v>2469</v>
      </c>
      <c r="H488" s="71" t="s">
        <v>3067</v>
      </c>
      <c r="I488" s="95">
        <v>241</v>
      </c>
      <c r="J488" s="101" t="s">
        <v>2596</v>
      </c>
    </row>
    <row r="489" spans="1:10" x14ac:dyDescent="0.25">
      <c r="A489" s="21" t="s">
        <v>422</v>
      </c>
      <c r="B489" s="2" t="s">
        <v>760</v>
      </c>
      <c r="C489" s="2" t="s">
        <v>691</v>
      </c>
      <c r="D489" s="12"/>
      <c r="E489" s="2"/>
      <c r="F489" s="2"/>
      <c r="G489" s="2" t="s">
        <v>2467</v>
      </c>
      <c r="H489" s="71" t="s">
        <v>3068</v>
      </c>
      <c r="I489" s="95">
        <v>242</v>
      </c>
      <c r="J489" s="101" t="s">
        <v>2596</v>
      </c>
    </row>
    <row r="490" spans="1:10" x14ac:dyDescent="0.25">
      <c r="A490" s="21" t="s">
        <v>422</v>
      </c>
      <c r="B490" s="2" t="s">
        <v>761</v>
      </c>
      <c r="C490" s="2" t="s">
        <v>698</v>
      </c>
      <c r="D490" s="12"/>
      <c r="E490" s="2"/>
      <c r="F490" s="2"/>
      <c r="G490" s="2" t="s">
        <v>2468</v>
      </c>
      <c r="H490" s="71" t="s">
        <v>3069</v>
      </c>
      <c r="I490" s="95">
        <v>243</v>
      </c>
      <c r="J490" s="101" t="s">
        <v>2596</v>
      </c>
    </row>
    <row r="491" spans="1:10" x14ac:dyDescent="0.25">
      <c r="A491" s="21" t="s">
        <v>422</v>
      </c>
      <c r="B491" s="2" t="s">
        <v>762</v>
      </c>
      <c r="C491" s="2" t="s">
        <v>712</v>
      </c>
      <c r="D491" s="12"/>
      <c r="E491" s="2"/>
      <c r="F491" s="2"/>
      <c r="G491" s="2" t="s">
        <v>2470</v>
      </c>
      <c r="H491" s="71" t="s">
        <v>3070</v>
      </c>
      <c r="I491" s="95">
        <v>244</v>
      </c>
      <c r="J491" s="101" t="s">
        <v>2596</v>
      </c>
    </row>
    <row r="492" spans="1:10" x14ac:dyDescent="0.25">
      <c r="A492" s="21" t="s">
        <v>422</v>
      </c>
      <c r="B492" s="2" t="s">
        <v>763</v>
      </c>
      <c r="C492" s="2" t="s">
        <v>719</v>
      </c>
      <c r="D492" s="12"/>
      <c r="E492" s="2"/>
      <c r="F492" s="2"/>
      <c r="G492" s="2" t="s">
        <v>2471</v>
      </c>
      <c r="H492" s="71" t="s">
        <v>3071</v>
      </c>
      <c r="I492" s="95">
        <v>245</v>
      </c>
      <c r="J492" s="101" t="s">
        <v>2596</v>
      </c>
    </row>
    <row r="493" spans="1:10" x14ac:dyDescent="0.25">
      <c r="A493" s="21" t="s">
        <v>422</v>
      </c>
      <c r="B493" s="2" t="s">
        <v>764</v>
      </c>
      <c r="C493" s="2" t="s">
        <v>726</v>
      </c>
      <c r="D493" s="12"/>
      <c r="E493" s="2"/>
      <c r="F493" s="2"/>
      <c r="G493" s="2" t="s">
        <v>2472</v>
      </c>
      <c r="H493" s="71" t="s">
        <v>3072</v>
      </c>
      <c r="I493" s="95">
        <v>246</v>
      </c>
      <c r="J493" s="101" t="s">
        <v>2596</v>
      </c>
    </row>
    <row r="494" spans="1:10" x14ac:dyDescent="0.25">
      <c r="A494" s="21" t="s">
        <v>422</v>
      </c>
      <c r="B494" s="2" t="s">
        <v>765</v>
      </c>
      <c r="C494" s="2" t="s">
        <v>734</v>
      </c>
      <c r="D494" s="12"/>
      <c r="E494" s="2"/>
      <c r="F494" s="2"/>
      <c r="G494" s="2" t="s">
        <v>2473</v>
      </c>
      <c r="H494" s="71" t="s">
        <v>3073</v>
      </c>
      <c r="I494" s="95">
        <v>247</v>
      </c>
      <c r="J494" s="101" t="s">
        <v>2596</v>
      </c>
    </row>
    <row r="495" spans="1:10" x14ac:dyDescent="0.25">
      <c r="A495" s="21" t="s">
        <v>422</v>
      </c>
      <c r="B495" s="2" t="s">
        <v>766</v>
      </c>
      <c r="C495" s="2" t="s">
        <v>741</v>
      </c>
      <c r="D495" s="12"/>
      <c r="E495" s="2"/>
      <c r="F495" s="2"/>
      <c r="G495" s="2" t="s">
        <v>2474</v>
      </c>
      <c r="H495" s="71" t="s">
        <v>3074</v>
      </c>
      <c r="I495" s="95">
        <v>248</v>
      </c>
      <c r="J495" s="101" t="s">
        <v>2596</v>
      </c>
    </row>
    <row r="496" spans="1:10" x14ac:dyDescent="0.25">
      <c r="A496" s="21" t="s">
        <v>422</v>
      </c>
      <c r="B496" s="2">
        <v>23</v>
      </c>
      <c r="C496" s="2" t="s">
        <v>655</v>
      </c>
      <c r="D496" s="12"/>
      <c r="E496" s="2"/>
      <c r="F496" s="2"/>
      <c r="G496" s="2" t="s">
        <v>2470</v>
      </c>
      <c r="H496" s="71" t="s">
        <v>3075</v>
      </c>
      <c r="I496" s="95">
        <v>249</v>
      </c>
      <c r="J496" s="101" t="s">
        <v>2596</v>
      </c>
    </row>
    <row r="497" spans="1:10" x14ac:dyDescent="0.25">
      <c r="A497" s="21" t="s">
        <v>422</v>
      </c>
      <c r="B497" s="2" t="s">
        <v>767</v>
      </c>
      <c r="C497" s="2" t="s">
        <v>692</v>
      </c>
      <c r="D497" s="12"/>
      <c r="E497" s="2"/>
      <c r="F497" s="2"/>
      <c r="G497" s="2" t="s">
        <v>2467</v>
      </c>
      <c r="H497" s="71" t="s">
        <v>3076</v>
      </c>
      <c r="I497" s="95">
        <v>250</v>
      </c>
      <c r="J497" s="101" t="s">
        <v>2596</v>
      </c>
    </row>
    <row r="498" spans="1:10" x14ac:dyDescent="0.25">
      <c r="A498" s="21" t="s">
        <v>422</v>
      </c>
      <c r="B498" s="2" t="s">
        <v>768</v>
      </c>
      <c r="C498" s="2" t="s">
        <v>699</v>
      </c>
      <c r="D498" s="12"/>
      <c r="E498" s="2"/>
      <c r="F498" s="2"/>
      <c r="G498" s="2" t="s">
        <v>2468</v>
      </c>
      <c r="H498" s="71" t="s">
        <v>3077</v>
      </c>
      <c r="I498" s="95">
        <v>251</v>
      </c>
      <c r="J498" s="101" t="s">
        <v>2596</v>
      </c>
    </row>
    <row r="499" spans="1:10" x14ac:dyDescent="0.25">
      <c r="A499" s="21" t="s">
        <v>422</v>
      </c>
      <c r="B499" s="2" t="s">
        <v>769</v>
      </c>
      <c r="C499" s="2" t="s">
        <v>705</v>
      </c>
      <c r="D499" s="12"/>
      <c r="E499" s="2"/>
      <c r="F499" s="2"/>
      <c r="G499" s="2" t="s">
        <v>2469</v>
      </c>
      <c r="H499" s="71" t="s">
        <v>3078</v>
      </c>
      <c r="I499" s="95">
        <v>252</v>
      </c>
      <c r="J499" s="101" t="s">
        <v>2596</v>
      </c>
    </row>
    <row r="500" spans="1:10" x14ac:dyDescent="0.25">
      <c r="A500" s="21" t="s">
        <v>422</v>
      </c>
      <c r="B500" s="2" t="s">
        <v>770</v>
      </c>
      <c r="C500" s="2" t="s">
        <v>720</v>
      </c>
      <c r="D500" s="12"/>
      <c r="E500" s="2"/>
      <c r="F500" s="2"/>
      <c r="G500" s="2" t="s">
        <v>2471</v>
      </c>
      <c r="H500" s="71" t="s">
        <v>3079</v>
      </c>
      <c r="I500" s="95">
        <v>253</v>
      </c>
      <c r="J500" s="101" t="s">
        <v>2596</v>
      </c>
    </row>
    <row r="501" spans="1:10" x14ac:dyDescent="0.25">
      <c r="A501" s="21" t="s">
        <v>422</v>
      </c>
      <c r="B501" s="2" t="s">
        <v>771</v>
      </c>
      <c r="C501" s="2" t="s">
        <v>727</v>
      </c>
      <c r="D501" s="12"/>
      <c r="E501" s="2"/>
      <c r="F501" s="2"/>
      <c r="G501" s="2" t="s">
        <v>2472</v>
      </c>
      <c r="H501" s="71" t="s">
        <v>3080</v>
      </c>
      <c r="I501" s="95">
        <v>254</v>
      </c>
      <c r="J501" s="101" t="s">
        <v>2596</v>
      </c>
    </row>
    <row r="502" spans="1:10" x14ac:dyDescent="0.25">
      <c r="A502" s="21" t="s">
        <v>422</v>
      </c>
      <c r="B502" s="2" t="s">
        <v>772</v>
      </c>
      <c r="C502" s="2" t="s">
        <v>735</v>
      </c>
      <c r="D502" s="12"/>
      <c r="E502" s="2"/>
      <c r="F502" s="2"/>
      <c r="G502" s="2" t="s">
        <v>2473</v>
      </c>
      <c r="H502" s="71" t="s">
        <v>3081</v>
      </c>
      <c r="I502" s="95">
        <v>255</v>
      </c>
      <c r="J502" s="101" t="s">
        <v>2596</v>
      </c>
    </row>
    <row r="503" spans="1:10" x14ac:dyDescent="0.25">
      <c r="A503" s="21" t="s">
        <v>422</v>
      </c>
      <c r="B503" s="2" t="s">
        <v>773</v>
      </c>
      <c r="C503" s="2" t="s">
        <v>742</v>
      </c>
      <c r="D503" s="12"/>
      <c r="E503" s="2"/>
      <c r="F503" s="2"/>
      <c r="G503" s="2" t="s">
        <v>2474</v>
      </c>
      <c r="H503" s="71" t="s">
        <v>3082</v>
      </c>
      <c r="I503" s="95">
        <v>256</v>
      </c>
      <c r="J503" s="101" t="s">
        <v>2596</v>
      </c>
    </row>
    <row r="504" spans="1:10" x14ac:dyDescent="0.25">
      <c r="A504" s="21" t="s">
        <v>422</v>
      </c>
      <c r="B504" s="2">
        <v>24</v>
      </c>
      <c r="C504" s="2" t="s">
        <v>656</v>
      </c>
      <c r="D504" s="12"/>
      <c r="E504" s="2"/>
      <c r="F504" s="2"/>
      <c r="G504" s="2" t="s">
        <v>2471</v>
      </c>
      <c r="H504" s="71" t="s">
        <v>3083</v>
      </c>
      <c r="I504" s="95">
        <v>257</v>
      </c>
      <c r="J504" s="101" t="s">
        <v>2596</v>
      </c>
    </row>
    <row r="505" spans="1:10" x14ac:dyDescent="0.25">
      <c r="A505" s="21" t="s">
        <v>422</v>
      </c>
      <c r="B505" s="2" t="s">
        <v>774</v>
      </c>
      <c r="C505" s="2" t="s">
        <v>693</v>
      </c>
      <c r="D505" s="12"/>
      <c r="E505" s="2"/>
      <c r="F505" s="2"/>
      <c r="G505" s="2" t="s">
        <v>2467</v>
      </c>
      <c r="H505" s="71" t="s">
        <v>3084</v>
      </c>
      <c r="I505" s="95">
        <v>258</v>
      </c>
      <c r="J505" s="101" t="s">
        <v>2596</v>
      </c>
    </row>
    <row r="506" spans="1:10" x14ac:dyDescent="0.25">
      <c r="A506" s="21" t="s">
        <v>422</v>
      </c>
      <c r="B506" s="2" t="s">
        <v>775</v>
      </c>
      <c r="C506" s="2" t="s">
        <v>700</v>
      </c>
      <c r="D506" s="12"/>
      <c r="E506" s="2"/>
      <c r="F506" s="2"/>
      <c r="G506" s="2" t="s">
        <v>2468</v>
      </c>
      <c r="H506" s="71" t="s">
        <v>3085</v>
      </c>
      <c r="I506" s="95">
        <v>259</v>
      </c>
      <c r="J506" s="101" t="s">
        <v>2596</v>
      </c>
    </row>
    <row r="507" spans="1:10" x14ac:dyDescent="0.25">
      <c r="A507" s="21" t="s">
        <v>422</v>
      </c>
      <c r="B507" s="2" t="s">
        <v>776</v>
      </c>
      <c r="C507" s="2" t="s">
        <v>706</v>
      </c>
      <c r="D507" s="12"/>
      <c r="E507" s="2"/>
      <c r="F507" s="2"/>
      <c r="G507" s="2" t="s">
        <v>2469</v>
      </c>
      <c r="H507" s="71" t="s">
        <v>3086</v>
      </c>
      <c r="I507" s="95">
        <v>260</v>
      </c>
      <c r="J507" s="101" t="s">
        <v>2596</v>
      </c>
    </row>
    <row r="508" spans="1:10" x14ac:dyDescent="0.25">
      <c r="A508" s="21" t="s">
        <v>422</v>
      </c>
      <c r="B508" s="2" t="s">
        <v>777</v>
      </c>
      <c r="C508" s="2" t="s">
        <v>713</v>
      </c>
      <c r="D508" s="12"/>
      <c r="E508" s="2"/>
      <c r="F508" s="2"/>
      <c r="G508" s="2" t="s">
        <v>2470</v>
      </c>
      <c r="H508" s="71" t="s">
        <v>3087</v>
      </c>
      <c r="I508" s="95">
        <v>261</v>
      </c>
      <c r="J508" s="101" t="s">
        <v>2596</v>
      </c>
    </row>
    <row r="509" spans="1:10" x14ac:dyDescent="0.25">
      <c r="A509" s="21" t="s">
        <v>422</v>
      </c>
      <c r="B509" s="2" t="s">
        <v>778</v>
      </c>
      <c r="C509" s="2" t="s">
        <v>728</v>
      </c>
      <c r="D509" s="12"/>
      <c r="E509" s="2"/>
      <c r="F509" s="2"/>
      <c r="G509" s="2" t="s">
        <v>2472</v>
      </c>
      <c r="H509" s="71" t="s">
        <v>3088</v>
      </c>
      <c r="I509" s="95">
        <v>262</v>
      </c>
      <c r="J509" s="101" t="s">
        <v>2596</v>
      </c>
    </row>
    <row r="510" spans="1:10" x14ac:dyDescent="0.25">
      <c r="A510" s="21" t="s">
        <v>422</v>
      </c>
      <c r="B510" s="2" t="s">
        <v>779</v>
      </c>
      <c r="C510" s="2" t="s">
        <v>736</v>
      </c>
      <c r="D510" s="12"/>
      <c r="E510" s="2"/>
      <c r="F510" s="2"/>
      <c r="G510" s="2" t="s">
        <v>2473</v>
      </c>
      <c r="H510" s="71" t="s">
        <v>3089</v>
      </c>
      <c r="I510" s="95">
        <v>263</v>
      </c>
      <c r="J510" s="101" t="s">
        <v>2596</v>
      </c>
    </row>
    <row r="511" spans="1:10" x14ac:dyDescent="0.25">
      <c r="A511" s="21" t="s">
        <v>422</v>
      </c>
      <c r="B511" s="2" t="s">
        <v>780</v>
      </c>
      <c r="C511" s="2" t="s">
        <v>743</v>
      </c>
      <c r="D511" s="12"/>
      <c r="E511" s="2"/>
      <c r="F511" s="2"/>
      <c r="G511" s="2" t="s">
        <v>2474</v>
      </c>
      <c r="H511" s="71" t="s">
        <v>3090</v>
      </c>
      <c r="I511" s="95">
        <v>264</v>
      </c>
      <c r="J511" s="101" t="s">
        <v>2596</v>
      </c>
    </row>
    <row r="512" spans="1:10" x14ac:dyDescent="0.25">
      <c r="A512" s="21" t="s">
        <v>422</v>
      </c>
      <c r="B512" s="2">
        <v>25</v>
      </c>
      <c r="C512" s="2" t="s">
        <v>658</v>
      </c>
      <c r="D512" s="12"/>
      <c r="E512" s="2"/>
      <c r="F512" s="2"/>
      <c r="G512" s="2" t="s">
        <v>2472</v>
      </c>
      <c r="H512" s="71" t="s">
        <v>3091</v>
      </c>
      <c r="I512" s="95">
        <v>265</v>
      </c>
      <c r="J512" s="101" t="s">
        <v>2596</v>
      </c>
    </row>
    <row r="513" spans="1:10" x14ac:dyDescent="0.25">
      <c r="A513" s="21" t="s">
        <v>422</v>
      </c>
      <c r="B513" s="2" t="s">
        <v>781</v>
      </c>
      <c r="C513" s="2" t="s">
        <v>694</v>
      </c>
      <c r="D513" s="12"/>
      <c r="E513" s="2"/>
      <c r="F513" s="2"/>
      <c r="G513" s="2" t="s">
        <v>2467</v>
      </c>
      <c r="H513" s="71" t="s">
        <v>3092</v>
      </c>
      <c r="I513" s="95">
        <v>266</v>
      </c>
      <c r="J513" s="101" t="s">
        <v>2596</v>
      </c>
    </row>
    <row r="514" spans="1:10" x14ac:dyDescent="0.25">
      <c r="A514" s="21" t="s">
        <v>422</v>
      </c>
      <c r="B514" s="2" t="s">
        <v>782</v>
      </c>
      <c r="C514" s="2" t="s">
        <v>707</v>
      </c>
      <c r="D514" s="12"/>
      <c r="E514" s="2"/>
      <c r="F514" s="2"/>
      <c r="G514" s="2" t="s">
        <v>2469</v>
      </c>
      <c r="H514" s="71" t="s">
        <v>3093</v>
      </c>
      <c r="I514" s="95">
        <v>267</v>
      </c>
      <c r="J514" s="101" t="s">
        <v>2596</v>
      </c>
    </row>
    <row r="515" spans="1:10" x14ac:dyDescent="0.25">
      <c r="A515" s="21" t="s">
        <v>422</v>
      </c>
      <c r="B515" s="2" t="s">
        <v>783</v>
      </c>
      <c r="C515" s="2" t="s">
        <v>714</v>
      </c>
      <c r="D515" s="12"/>
      <c r="E515" s="2"/>
      <c r="F515" s="2"/>
      <c r="G515" s="2" t="s">
        <v>2470</v>
      </c>
      <c r="H515" s="71" t="s">
        <v>3094</v>
      </c>
      <c r="I515" s="95">
        <v>268</v>
      </c>
      <c r="J515" s="101" t="s">
        <v>2596</v>
      </c>
    </row>
    <row r="516" spans="1:10" x14ac:dyDescent="0.25">
      <c r="A516" s="21" t="s">
        <v>422</v>
      </c>
      <c r="B516" s="2" t="s">
        <v>784</v>
      </c>
      <c r="C516" s="2" t="s">
        <v>721</v>
      </c>
      <c r="D516" s="12"/>
      <c r="E516" s="2"/>
      <c r="F516" s="2"/>
      <c r="G516" s="2" t="s">
        <v>2471</v>
      </c>
      <c r="H516" s="71" t="s">
        <v>3095</v>
      </c>
      <c r="I516" s="95">
        <v>269</v>
      </c>
      <c r="J516" s="101" t="s">
        <v>2596</v>
      </c>
    </row>
    <row r="517" spans="1:10" x14ac:dyDescent="0.25">
      <c r="A517" s="21" t="s">
        <v>422</v>
      </c>
      <c r="B517" s="2" t="s">
        <v>785</v>
      </c>
      <c r="C517" s="2" t="s">
        <v>729</v>
      </c>
      <c r="D517" s="12"/>
      <c r="E517" s="2"/>
      <c r="F517" s="2"/>
      <c r="G517" s="2" t="s">
        <v>2472</v>
      </c>
      <c r="H517" s="71" t="s">
        <v>3096</v>
      </c>
      <c r="I517" s="95">
        <v>270</v>
      </c>
      <c r="J517" s="101" t="s">
        <v>2596</v>
      </c>
    </row>
    <row r="518" spans="1:10" x14ac:dyDescent="0.25">
      <c r="A518" s="21" t="s">
        <v>422</v>
      </c>
      <c r="B518" s="2" t="s">
        <v>786</v>
      </c>
      <c r="C518" s="2" t="s">
        <v>737</v>
      </c>
      <c r="D518" s="12"/>
      <c r="E518" s="2"/>
      <c r="F518" s="2"/>
      <c r="G518" s="2" t="s">
        <v>2473</v>
      </c>
      <c r="H518" s="71" t="s">
        <v>3097</v>
      </c>
      <c r="I518" s="95">
        <v>271</v>
      </c>
      <c r="J518" s="101" t="s">
        <v>2596</v>
      </c>
    </row>
    <row r="519" spans="1:10" x14ac:dyDescent="0.25">
      <c r="A519" s="21" t="s">
        <v>422</v>
      </c>
      <c r="B519" s="2" t="s">
        <v>787</v>
      </c>
      <c r="C519" s="2" t="s">
        <v>744</v>
      </c>
      <c r="D519" s="12"/>
      <c r="E519" s="2"/>
      <c r="F519" s="2"/>
      <c r="G519" s="2" t="s">
        <v>2474</v>
      </c>
      <c r="H519" s="71" t="s">
        <v>3098</v>
      </c>
      <c r="I519" s="95">
        <v>272</v>
      </c>
      <c r="J519" s="101" t="s">
        <v>2596</v>
      </c>
    </row>
    <row r="520" spans="1:10" x14ac:dyDescent="0.25">
      <c r="A520" s="21" t="s">
        <v>422</v>
      </c>
      <c r="B520" s="2">
        <v>26</v>
      </c>
      <c r="C520" s="2" t="s">
        <v>659</v>
      </c>
      <c r="D520" s="12"/>
      <c r="E520" s="2"/>
      <c r="F520" s="2"/>
      <c r="G520" s="2" t="s">
        <v>2473</v>
      </c>
      <c r="H520" s="71" t="s">
        <v>3099</v>
      </c>
      <c r="I520" s="95">
        <v>273</v>
      </c>
      <c r="J520" s="101" t="s">
        <v>2596</v>
      </c>
    </row>
    <row r="521" spans="1:10" x14ac:dyDescent="0.25">
      <c r="A521" s="21" t="s">
        <v>422</v>
      </c>
      <c r="B521" s="2" t="s">
        <v>788</v>
      </c>
      <c r="C521" s="2" t="s">
        <v>695</v>
      </c>
      <c r="D521" s="12"/>
      <c r="E521" s="2"/>
      <c r="F521" s="2"/>
      <c r="G521" s="2" t="s">
        <v>2467</v>
      </c>
      <c r="H521" s="71" t="s">
        <v>3100</v>
      </c>
      <c r="I521" s="95">
        <v>274</v>
      </c>
      <c r="J521" s="101" t="s">
        <v>2596</v>
      </c>
    </row>
    <row r="522" spans="1:10" x14ac:dyDescent="0.25">
      <c r="A522" s="21" t="s">
        <v>422</v>
      </c>
      <c r="B522" s="2" t="s">
        <v>789</v>
      </c>
      <c r="C522" s="2" t="s">
        <v>701</v>
      </c>
      <c r="D522" s="12"/>
      <c r="E522" s="2"/>
      <c r="F522" s="2"/>
      <c r="G522" s="2" t="s">
        <v>2468</v>
      </c>
      <c r="H522" s="71" t="s">
        <v>3101</v>
      </c>
      <c r="I522" s="95">
        <v>275</v>
      </c>
      <c r="J522" s="101" t="s">
        <v>2596</v>
      </c>
    </row>
    <row r="523" spans="1:10" x14ac:dyDescent="0.25">
      <c r="A523" s="21" t="s">
        <v>422</v>
      </c>
      <c r="B523" s="2" t="s">
        <v>790</v>
      </c>
      <c r="C523" s="2" t="s">
        <v>708</v>
      </c>
      <c r="D523" s="12"/>
      <c r="E523" s="2"/>
      <c r="F523" s="2"/>
      <c r="G523" s="2" t="s">
        <v>2469</v>
      </c>
      <c r="H523" s="71" t="s">
        <v>3102</v>
      </c>
      <c r="I523" s="95">
        <v>276</v>
      </c>
      <c r="J523" s="101" t="s">
        <v>2596</v>
      </c>
    </row>
    <row r="524" spans="1:10" x14ac:dyDescent="0.25">
      <c r="A524" s="21" t="s">
        <v>422</v>
      </c>
      <c r="B524" s="2" t="s">
        <v>791</v>
      </c>
      <c r="C524" s="2" t="s">
        <v>715</v>
      </c>
      <c r="D524" s="12"/>
      <c r="E524" s="2"/>
      <c r="F524" s="2"/>
      <c r="G524" s="2" t="s">
        <v>2470</v>
      </c>
      <c r="H524" s="71" t="s">
        <v>3103</v>
      </c>
      <c r="I524" s="95">
        <v>277</v>
      </c>
      <c r="J524" s="101" t="s">
        <v>2596</v>
      </c>
    </row>
    <row r="525" spans="1:10" x14ac:dyDescent="0.25">
      <c r="A525" s="21" t="s">
        <v>422</v>
      </c>
      <c r="B525" s="2" t="s">
        <v>792</v>
      </c>
      <c r="C525" s="2" t="s">
        <v>722</v>
      </c>
      <c r="D525" s="12"/>
      <c r="E525" s="2"/>
      <c r="F525" s="2"/>
      <c r="G525" s="2" t="s">
        <v>2471</v>
      </c>
      <c r="H525" s="71" t="s">
        <v>3104</v>
      </c>
      <c r="I525" s="95">
        <v>278</v>
      </c>
      <c r="J525" s="101" t="s">
        <v>2596</v>
      </c>
    </row>
    <row r="526" spans="1:10" x14ac:dyDescent="0.25">
      <c r="A526" s="21" t="s">
        <v>422</v>
      </c>
      <c r="B526" s="2" t="s">
        <v>793</v>
      </c>
      <c r="C526" s="2" t="s">
        <v>730</v>
      </c>
      <c r="D526" s="12"/>
      <c r="E526" s="2"/>
      <c r="F526" s="2"/>
      <c r="G526" s="2" t="s">
        <v>2472</v>
      </c>
      <c r="H526" s="71" t="s">
        <v>3105</v>
      </c>
      <c r="I526" s="95">
        <v>279</v>
      </c>
      <c r="J526" s="101" t="s">
        <v>2596</v>
      </c>
    </row>
    <row r="527" spans="1:10" x14ac:dyDescent="0.25">
      <c r="A527" s="21" t="s">
        <v>422</v>
      </c>
      <c r="B527" s="2" t="s">
        <v>794</v>
      </c>
      <c r="C527" s="2" t="s">
        <v>745</v>
      </c>
      <c r="D527" s="12"/>
      <c r="E527" s="2"/>
      <c r="F527" s="2"/>
      <c r="G527" s="2" t="s">
        <v>2474</v>
      </c>
      <c r="H527" s="71" t="s">
        <v>3106</v>
      </c>
      <c r="I527" s="95">
        <v>280</v>
      </c>
      <c r="J527" s="101" t="s">
        <v>2596</v>
      </c>
    </row>
    <row r="528" spans="1:10" x14ac:dyDescent="0.25">
      <c r="A528" s="21" t="s">
        <v>422</v>
      </c>
      <c r="B528" s="2">
        <v>27</v>
      </c>
      <c r="C528" s="2" t="s">
        <v>660</v>
      </c>
      <c r="D528" s="12"/>
      <c r="E528" s="2"/>
      <c r="F528" s="2"/>
      <c r="G528" s="2" t="s">
        <v>2474</v>
      </c>
      <c r="H528" s="71" t="s">
        <v>3107</v>
      </c>
      <c r="I528" s="95">
        <v>281</v>
      </c>
      <c r="J528" s="101" t="s">
        <v>2596</v>
      </c>
    </row>
    <row r="529" spans="1:10" x14ac:dyDescent="0.25">
      <c r="A529" s="21" t="s">
        <v>422</v>
      </c>
      <c r="B529" s="2" t="s">
        <v>795</v>
      </c>
      <c r="C529" s="2" t="s">
        <v>696</v>
      </c>
      <c r="D529" s="12"/>
      <c r="E529" s="2"/>
      <c r="F529" s="2"/>
      <c r="G529" s="2" t="s">
        <v>2467</v>
      </c>
      <c r="H529" s="71" t="s">
        <v>3108</v>
      </c>
      <c r="I529" s="95">
        <v>282</v>
      </c>
      <c r="J529" s="101" t="s">
        <v>2596</v>
      </c>
    </row>
    <row r="530" spans="1:10" x14ac:dyDescent="0.25">
      <c r="A530" s="21" t="s">
        <v>422</v>
      </c>
      <c r="B530" s="2" t="s">
        <v>796</v>
      </c>
      <c r="C530" s="2" t="s">
        <v>702</v>
      </c>
      <c r="D530" s="12"/>
      <c r="E530" s="2"/>
      <c r="F530" s="2"/>
      <c r="G530" s="2" t="s">
        <v>2468</v>
      </c>
      <c r="H530" s="71" t="s">
        <v>3109</v>
      </c>
      <c r="I530" s="95">
        <v>283</v>
      </c>
      <c r="J530" s="101" t="s">
        <v>2596</v>
      </c>
    </row>
    <row r="531" spans="1:10" x14ac:dyDescent="0.25">
      <c r="A531" s="21" t="s">
        <v>422</v>
      </c>
      <c r="B531" s="2" t="s">
        <v>797</v>
      </c>
      <c r="C531" s="2" t="s">
        <v>709</v>
      </c>
      <c r="D531" s="12"/>
      <c r="E531" s="2"/>
      <c r="F531" s="2"/>
      <c r="G531" s="2" t="s">
        <v>2469</v>
      </c>
      <c r="H531" s="71" t="s">
        <v>3110</v>
      </c>
      <c r="I531" s="95">
        <v>284</v>
      </c>
      <c r="J531" s="101" t="s">
        <v>2596</v>
      </c>
    </row>
    <row r="532" spans="1:10" x14ac:dyDescent="0.25">
      <c r="A532" s="21" t="s">
        <v>422</v>
      </c>
      <c r="B532" s="2" t="s">
        <v>798</v>
      </c>
      <c r="C532" s="2" t="s">
        <v>716</v>
      </c>
      <c r="D532" s="12"/>
      <c r="E532" s="2"/>
      <c r="F532" s="2"/>
      <c r="G532" s="2" t="s">
        <v>2470</v>
      </c>
      <c r="H532" s="71" t="s">
        <v>3111</v>
      </c>
      <c r="I532" s="95">
        <v>285</v>
      </c>
      <c r="J532" s="101" t="s">
        <v>2596</v>
      </c>
    </row>
    <row r="533" spans="1:10" x14ac:dyDescent="0.25">
      <c r="A533" s="21" t="s">
        <v>422</v>
      </c>
      <c r="B533" s="2" t="s">
        <v>799</v>
      </c>
      <c r="C533" s="2" t="s">
        <v>723</v>
      </c>
      <c r="D533" s="12"/>
      <c r="E533" s="2"/>
      <c r="F533" s="2"/>
      <c r="G533" s="2" t="s">
        <v>2471</v>
      </c>
      <c r="H533" s="71" t="s">
        <v>3112</v>
      </c>
      <c r="I533" s="95">
        <v>286</v>
      </c>
      <c r="J533" s="101" t="s">
        <v>2596</v>
      </c>
    </row>
    <row r="534" spans="1:10" x14ac:dyDescent="0.25">
      <c r="A534" s="21" t="s">
        <v>422</v>
      </c>
      <c r="B534" s="2" t="s">
        <v>800</v>
      </c>
      <c r="C534" s="2" t="s">
        <v>731</v>
      </c>
      <c r="D534" s="12"/>
      <c r="E534" s="2"/>
      <c r="F534" s="2"/>
      <c r="G534" s="2" t="s">
        <v>2472</v>
      </c>
      <c r="H534" s="71" t="s">
        <v>3113</v>
      </c>
      <c r="I534" s="95">
        <v>287</v>
      </c>
      <c r="J534" s="101" t="s">
        <v>2596</v>
      </c>
    </row>
    <row r="535" spans="1:10" x14ac:dyDescent="0.25">
      <c r="A535" s="21" t="s">
        <v>422</v>
      </c>
      <c r="B535" s="2" t="s">
        <v>801</v>
      </c>
      <c r="C535" s="2" t="s">
        <v>738</v>
      </c>
      <c r="D535" s="12"/>
      <c r="E535" s="2"/>
      <c r="F535" s="2"/>
      <c r="G535" s="2" t="s">
        <v>2473</v>
      </c>
      <c r="H535" s="71" t="s">
        <v>3114</v>
      </c>
      <c r="I535" s="95">
        <v>288</v>
      </c>
      <c r="J535" s="101" t="s">
        <v>2596</v>
      </c>
    </row>
    <row r="536" spans="1:10" x14ac:dyDescent="0.25">
      <c r="A536" s="21" t="s">
        <v>422</v>
      </c>
      <c r="B536" s="2">
        <v>-999</v>
      </c>
      <c r="C536" s="2" t="s">
        <v>414</v>
      </c>
      <c r="D536" s="2"/>
      <c r="E536" s="2"/>
      <c r="F536" s="2"/>
      <c r="G536" s="2" t="s">
        <v>1587</v>
      </c>
      <c r="H536" s="71" t="s">
        <v>3115</v>
      </c>
      <c r="I536" s="95">
        <v>289</v>
      </c>
      <c r="J536" s="101" t="s">
        <v>2596</v>
      </c>
    </row>
    <row r="537" spans="1:10" ht="15.75" thickBot="1" x14ac:dyDescent="0.3">
      <c r="A537" s="46" t="s">
        <v>422</v>
      </c>
      <c r="B537" s="47">
        <v>-888</v>
      </c>
      <c r="C537" s="47" t="s">
        <v>802</v>
      </c>
      <c r="D537" s="47"/>
      <c r="E537" s="47"/>
      <c r="F537" s="47"/>
      <c r="G537" s="47" t="s">
        <v>2333</v>
      </c>
      <c r="H537" s="78" t="s">
        <v>3116</v>
      </c>
      <c r="I537" s="102">
        <v>290</v>
      </c>
      <c r="J537" s="103" t="s">
        <v>2596</v>
      </c>
    </row>
    <row r="538" spans="1:10" x14ac:dyDescent="0.25">
      <c r="A538" s="19" t="s">
        <v>1376</v>
      </c>
      <c r="B538" s="49" t="s">
        <v>1232</v>
      </c>
      <c r="C538" s="49" t="s">
        <v>808</v>
      </c>
      <c r="D538" s="49"/>
      <c r="E538" s="49"/>
      <c r="F538" s="49"/>
      <c r="G538" s="49" t="s">
        <v>2300</v>
      </c>
      <c r="H538" s="79" t="s">
        <v>3117</v>
      </c>
      <c r="I538" s="93">
        <v>1</v>
      </c>
      <c r="J538" s="104" t="s">
        <v>2597</v>
      </c>
    </row>
    <row r="539" spans="1:10" x14ac:dyDescent="0.25">
      <c r="A539" s="16" t="s">
        <v>1376</v>
      </c>
      <c r="B539" s="12" t="s">
        <v>1233</v>
      </c>
      <c r="C539" s="12" t="s">
        <v>1188</v>
      </c>
      <c r="D539" s="12"/>
      <c r="E539" s="12"/>
      <c r="F539" s="12"/>
      <c r="G539" s="12" t="s">
        <v>2475</v>
      </c>
      <c r="H539" s="80" t="s">
        <v>3118</v>
      </c>
      <c r="I539" s="95">
        <v>2</v>
      </c>
      <c r="J539" s="105" t="s">
        <v>2597</v>
      </c>
    </row>
    <row r="540" spans="1:10" x14ac:dyDescent="0.25">
      <c r="A540" s="16" t="s">
        <v>1376</v>
      </c>
      <c r="B540" s="12" t="s">
        <v>1234</v>
      </c>
      <c r="C540" s="12" t="s">
        <v>1189</v>
      </c>
      <c r="D540" s="12"/>
      <c r="E540" s="12"/>
      <c r="F540" s="12"/>
      <c r="G540" s="12" t="s">
        <v>2476</v>
      </c>
      <c r="H540" s="80" t="s">
        <v>3119</v>
      </c>
      <c r="I540" s="95">
        <v>3</v>
      </c>
      <c r="J540" s="105" t="s">
        <v>2597</v>
      </c>
    </row>
    <row r="541" spans="1:10" x14ac:dyDescent="0.25">
      <c r="A541" s="16" t="s">
        <v>1376</v>
      </c>
      <c r="B541" s="12" t="s">
        <v>1235</v>
      </c>
      <c r="C541" s="12" t="s">
        <v>1099</v>
      </c>
      <c r="D541" s="12"/>
      <c r="E541" s="12"/>
      <c r="F541" s="12"/>
      <c r="G541" s="12" t="s">
        <v>2476</v>
      </c>
      <c r="H541" s="80" t="s">
        <v>3120</v>
      </c>
      <c r="I541" s="95">
        <v>4</v>
      </c>
      <c r="J541" s="105" t="s">
        <v>2597</v>
      </c>
    </row>
    <row r="542" spans="1:10" x14ac:dyDescent="0.25">
      <c r="A542" s="16" t="s">
        <v>1376</v>
      </c>
      <c r="B542" s="12" t="s">
        <v>1236</v>
      </c>
      <c r="C542" s="12" t="s">
        <v>1100</v>
      </c>
      <c r="D542" s="12"/>
      <c r="E542" s="12"/>
      <c r="F542" s="12"/>
      <c r="G542" s="12" t="s">
        <v>2476</v>
      </c>
      <c r="H542" s="80" t="s">
        <v>3121</v>
      </c>
      <c r="I542" s="95">
        <v>5</v>
      </c>
      <c r="J542" s="105" t="s">
        <v>2597</v>
      </c>
    </row>
    <row r="543" spans="1:10" x14ac:dyDescent="0.25">
      <c r="A543" s="16" t="s">
        <v>1376</v>
      </c>
      <c r="B543" s="12" t="s">
        <v>1237</v>
      </c>
      <c r="C543" s="12" t="s">
        <v>1101</v>
      </c>
      <c r="D543" s="12"/>
      <c r="E543" s="12"/>
      <c r="F543" s="12"/>
      <c r="G543" s="12" t="s">
        <v>2476</v>
      </c>
      <c r="H543" s="80" t="s">
        <v>3122</v>
      </c>
      <c r="I543" s="95">
        <v>6</v>
      </c>
      <c r="J543" s="105" t="s">
        <v>2597</v>
      </c>
    </row>
    <row r="544" spans="1:10" x14ac:dyDescent="0.25">
      <c r="A544" s="16" t="s">
        <v>1376</v>
      </c>
      <c r="B544" s="12" t="s">
        <v>1238</v>
      </c>
      <c r="C544" s="12" t="s">
        <v>1102</v>
      </c>
      <c r="D544" s="12"/>
      <c r="E544" s="12"/>
      <c r="F544" s="12"/>
      <c r="G544" s="12" t="s">
        <v>2476</v>
      </c>
      <c r="H544" s="80" t="s">
        <v>3123</v>
      </c>
      <c r="I544" s="95">
        <v>7</v>
      </c>
      <c r="J544" s="105" t="s">
        <v>2597</v>
      </c>
    </row>
    <row r="545" spans="1:10" x14ac:dyDescent="0.25">
      <c r="A545" s="22" t="s">
        <v>1376</v>
      </c>
      <c r="B545" s="48" t="s">
        <v>1239</v>
      </c>
      <c r="C545" s="48" t="s">
        <v>819</v>
      </c>
      <c r="D545" s="48"/>
      <c r="E545" s="48"/>
      <c r="F545" s="48"/>
      <c r="G545" s="48" t="s">
        <v>2301</v>
      </c>
      <c r="H545" s="81" t="s">
        <v>3124</v>
      </c>
      <c r="I545" s="95">
        <v>8</v>
      </c>
      <c r="J545" s="105" t="s">
        <v>2597</v>
      </c>
    </row>
    <row r="546" spans="1:10" x14ac:dyDescent="0.25">
      <c r="A546" s="16" t="s">
        <v>1376</v>
      </c>
      <c r="B546" s="12" t="s">
        <v>1240</v>
      </c>
      <c r="C546" s="12" t="s">
        <v>1190</v>
      </c>
      <c r="D546" s="12"/>
      <c r="E546" s="12"/>
      <c r="F546" s="12"/>
      <c r="G546" s="12" t="s">
        <v>2301</v>
      </c>
      <c r="H546" s="80" t="s">
        <v>3125</v>
      </c>
      <c r="I546" s="95">
        <v>9</v>
      </c>
      <c r="J546" s="105" t="s">
        <v>2597</v>
      </c>
    </row>
    <row r="547" spans="1:10" x14ac:dyDescent="0.25">
      <c r="A547" s="16" t="s">
        <v>1376</v>
      </c>
      <c r="B547" s="12" t="s">
        <v>1241</v>
      </c>
      <c r="C547" s="12" t="s">
        <v>1103</v>
      </c>
      <c r="D547" s="12"/>
      <c r="E547" s="12"/>
      <c r="F547" s="12"/>
      <c r="G547" s="12" t="s">
        <v>2301</v>
      </c>
      <c r="H547" s="80" t="s">
        <v>3126</v>
      </c>
      <c r="I547" s="95">
        <v>10</v>
      </c>
      <c r="J547" s="105" t="s">
        <v>2597</v>
      </c>
    </row>
    <row r="548" spans="1:10" x14ac:dyDescent="0.25">
      <c r="A548" s="16" t="s">
        <v>1376</v>
      </c>
      <c r="B548" s="12" t="s">
        <v>1242</v>
      </c>
      <c r="C548" s="12" t="s">
        <v>1104</v>
      </c>
      <c r="D548" s="12"/>
      <c r="E548" s="12"/>
      <c r="F548" s="12"/>
      <c r="G548" s="12" t="s">
        <v>2301</v>
      </c>
      <c r="H548" s="80" t="s">
        <v>3127</v>
      </c>
      <c r="I548" s="95">
        <v>11</v>
      </c>
      <c r="J548" s="105" t="s">
        <v>2597</v>
      </c>
    </row>
    <row r="549" spans="1:10" x14ac:dyDescent="0.25">
      <c r="A549" s="16" t="s">
        <v>1376</v>
      </c>
      <c r="B549" s="12" t="s">
        <v>1243</v>
      </c>
      <c r="C549" s="12" t="s">
        <v>1191</v>
      </c>
      <c r="D549" s="12"/>
      <c r="E549" s="12"/>
      <c r="F549" s="12"/>
      <c r="G549" s="12" t="s">
        <v>1437</v>
      </c>
      <c r="H549" s="80" t="s">
        <v>3128</v>
      </c>
      <c r="I549" s="95">
        <v>12</v>
      </c>
      <c r="J549" s="105" t="s">
        <v>2597</v>
      </c>
    </row>
    <row r="550" spans="1:10" x14ac:dyDescent="0.25">
      <c r="A550" s="16" t="s">
        <v>1376</v>
      </c>
      <c r="B550" s="12" t="s">
        <v>1244</v>
      </c>
      <c r="C550" s="12" t="s">
        <v>1105</v>
      </c>
      <c r="D550" s="12"/>
      <c r="E550" s="12"/>
      <c r="F550" s="12"/>
      <c r="G550" s="12" t="s">
        <v>2477</v>
      </c>
      <c r="H550" s="80" t="s">
        <v>3129</v>
      </c>
      <c r="I550" s="95">
        <v>13</v>
      </c>
      <c r="J550" s="105" t="s">
        <v>2597</v>
      </c>
    </row>
    <row r="551" spans="1:10" x14ac:dyDescent="0.25">
      <c r="A551" s="16" t="s">
        <v>1376</v>
      </c>
      <c r="B551" s="12" t="s">
        <v>1245</v>
      </c>
      <c r="C551" s="12" t="s">
        <v>1106</v>
      </c>
      <c r="D551" s="12"/>
      <c r="E551" s="12"/>
      <c r="F551" s="12"/>
      <c r="G551" s="12" t="s">
        <v>2478</v>
      </c>
      <c r="H551" s="80" t="s">
        <v>3130</v>
      </c>
      <c r="I551" s="95">
        <v>14</v>
      </c>
      <c r="J551" s="105" t="s">
        <v>2597</v>
      </c>
    </row>
    <row r="552" spans="1:10" x14ac:dyDescent="0.25">
      <c r="A552" s="16" t="s">
        <v>1376</v>
      </c>
      <c r="B552" s="12" t="s">
        <v>1246</v>
      </c>
      <c r="C552" s="12" t="s">
        <v>1107</v>
      </c>
      <c r="D552" s="12"/>
      <c r="E552" s="12"/>
      <c r="F552" s="12"/>
      <c r="G552" s="12" t="s">
        <v>2479</v>
      </c>
      <c r="H552" s="80" t="s">
        <v>3131</v>
      </c>
      <c r="I552" s="95">
        <v>15</v>
      </c>
      <c r="J552" s="105" t="s">
        <v>2597</v>
      </c>
    </row>
    <row r="553" spans="1:10" x14ac:dyDescent="0.25">
      <c r="A553" s="16" t="s">
        <v>1376</v>
      </c>
      <c r="B553" s="12" t="s">
        <v>1247</v>
      </c>
      <c r="C553" s="12" t="s">
        <v>1108</v>
      </c>
      <c r="D553" s="12"/>
      <c r="E553" s="12"/>
      <c r="F553" s="12"/>
      <c r="G553" s="12" t="s">
        <v>2480</v>
      </c>
      <c r="H553" s="80" t="s">
        <v>3132</v>
      </c>
      <c r="I553" s="95">
        <v>16</v>
      </c>
      <c r="J553" s="105" t="s">
        <v>2597</v>
      </c>
    </row>
    <row r="554" spans="1:10" x14ac:dyDescent="0.25">
      <c r="A554" s="16" t="s">
        <v>1376</v>
      </c>
      <c r="B554" s="12" t="s">
        <v>1248</v>
      </c>
      <c r="C554" s="12" t="s">
        <v>1109</v>
      </c>
      <c r="D554" s="12"/>
      <c r="E554" s="12"/>
      <c r="F554" s="12"/>
      <c r="G554" s="12" t="s">
        <v>2481</v>
      </c>
      <c r="H554" s="80" t="s">
        <v>3133</v>
      </c>
      <c r="I554" s="95">
        <v>17</v>
      </c>
      <c r="J554" s="105" t="s">
        <v>2597</v>
      </c>
    </row>
    <row r="555" spans="1:10" x14ac:dyDescent="0.25">
      <c r="A555" s="16" t="s">
        <v>1376</v>
      </c>
      <c r="B555" s="12" t="s">
        <v>1249</v>
      </c>
      <c r="C555" s="12" t="s">
        <v>1110</v>
      </c>
      <c r="D555" s="12"/>
      <c r="E555" s="12"/>
      <c r="F555" s="12"/>
      <c r="G555" s="12" t="s">
        <v>2482</v>
      </c>
      <c r="H555" s="80" t="s">
        <v>3134</v>
      </c>
      <c r="I555" s="95">
        <v>18</v>
      </c>
      <c r="J555" s="105" t="s">
        <v>2597</v>
      </c>
    </row>
    <row r="556" spans="1:10" x14ac:dyDescent="0.25">
      <c r="A556" s="22" t="s">
        <v>1376</v>
      </c>
      <c r="B556" s="48" t="s">
        <v>1250</v>
      </c>
      <c r="C556" s="48" t="s">
        <v>803</v>
      </c>
      <c r="D556" s="48"/>
      <c r="E556" s="48"/>
      <c r="F556" s="48"/>
      <c r="G556" s="48" t="s">
        <v>2483</v>
      </c>
      <c r="H556" s="81" t="s">
        <v>3135</v>
      </c>
      <c r="I556" s="95">
        <v>19</v>
      </c>
      <c r="J556" s="105" t="s">
        <v>2597</v>
      </c>
    </row>
    <row r="557" spans="1:10" x14ac:dyDescent="0.25">
      <c r="A557" s="16" t="s">
        <v>1376</v>
      </c>
      <c r="B557" s="12" t="s">
        <v>1251</v>
      </c>
      <c r="C557" s="12" t="s">
        <v>1213</v>
      </c>
      <c r="D557" s="12"/>
      <c r="E557" s="12"/>
      <c r="F557" s="12"/>
      <c r="G557" s="12" t="s">
        <v>2484</v>
      </c>
      <c r="H557" s="80" t="s">
        <v>3136</v>
      </c>
      <c r="I557" s="95">
        <v>20</v>
      </c>
      <c r="J557" s="105" t="s">
        <v>2597</v>
      </c>
    </row>
    <row r="558" spans="1:10" x14ac:dyDescent="0.25">
      <c r="A558" s="16" t="s">
        <v>1376</v>
      </c>
      <c r="B558" s="12" t="s">
        <v>1252</v>
      </c>
      <c r="C558" s="12" t="s">
        <v>1111</v>
      </c>
      <c r="D558" s="12"/>
      <c r="E558" s="12"/>
      <c r="F558" s="12"/>
      <c r="G558" s="12" t="s">
        <v>2485</v>
      </c>
      <c r="H558" s="80" t="s">
        <v>3137</v>
      </c>
      <c r="I558" s="95">
        <v>21</v>
      </c>
      <c r="J558" s="105" t="s">
        <v>2597</v>
      </c>
    </row>
    <row r="559" spans="1:10" x14ac:dyDescent="0.25">
      <c r="A559" s="16" t="s">
        <v>1376</v>
      </c>
      <c r="B559" s="12" t="s">
        <v>1253</v>
      </c>
      <c r="C559" s="12" t="s">
        <v>1112</v>
      </c>
      <c r="D559" s="12"/>
      <c r="E559" s="12"/>
      <c r="F559" s="12"/>
      <c r="G559" s="12" t="s">
        <v>2486</v>
      </c>
      <c r="H559" s="80" t="s">
        <v>3138</v>
      </c>
      <c r="I559" s="95">
        <v>22</v>
      </c>
      <c r="J559" s="105" t="s">
        <v>2597</v>
      </c>
    </row>
    <row r="560" spans="1:10" x14ac:dyDescent="0.25">
      <c r="A560" s="16" t="s">
        <v>1376</v>
      </c>
      <c r="B560" s="12" t="s">
        <v>1254</v>
      </c>
      <c r="C560" s="12" t="s">
        <v>1192</v>
      </c>
      <c r="D560" s="12"/>
      <c r="E560" s="12"/>
      <c r="F560" s="12"/>
      <c r="G560" s="12" t="s">
        <v>2302</v>
      </c>
      <c r="H560" s="80" t="s">
        <v>3139</v>
      </c>
      <c r="I560" s="95">
        <v>23</v>
      </c>
      <c r="J560" s="105" t="s">
        <v>2597</v>
      </c>
    </row>
    <row r="561" spans="1:10" x14ac:dyDescent="0.25">
      <c r="A561" s="16" t="s">
        <v>1376</v>
      </c>
      <c r="B561" s="12" t="s">
        <v>1255</v>
      </c>
      <c r="C561" s="12" t="s">
        <v>1113</v>
      </c>
      <c r="D561" s="12"/>
      <c r="E561" s="12"/>
      <c r="F561" s="12"/>
      <c r="G561" s="12" t="s">
        <v>2302</v>
      </c>
      <c r="H561" s="80" t="s">
        <v>3140</v>
      </c>
      <c r="I561" s="95">
        <v>24</v>
      </c>
      <c r="J561" s="105" t="s">
        <v>2597</v>
      </c>
    </row>
    <row r="562" spans="1:10" x14ac:dyDescent="0.25">
      <c r="A562" s="16" t="s">
        <v>1376</v>
      </c>
      <c r="B562" s="12" t="s">
        <v>1256</v>
      </c>
      <c r="C562" s="12" t="s">
        <v>1114</v>
      </c>
      <c r="D562" s="12"/>
      <c r="E562" s="12"/>
      <c r="F562" s="12"/>
      <c r="G562" s="12" t="s">
        <v>2302</v>
      </c>
      <c r="H562" s="80" t="s">
        <v>3141</v>
      </c>
      <c r="I562" s="95">
        <v>25</v>
      </c>
      <c r="J562" s="105" t="s">
        <v>2597</v>
      </c>
    </row>
    <row r="563" spans="1:10" x14ac:dyDescent="0.25">
      <c r="A563" s="16" t="s">
        <v>1376</v>
      </c>
      <c r="B563" s="12" t="s">
        <v>1257</v>
      </c>
      <c r="C563" s="12" t="s">
        <v>1115</v>
      </c>
      <c r="D563" s="12"/>
      <c r="E563" s="12"/>
      <c r="F563" s="12"/>
      <c r="G563" s="12" t="s">
        <v>2302</v>
      </c>
      <c r="H563" s="80" t="s">
        <v>3142</v>
      </c>
      <c r="I563" s="95">
        <v>26</v>
      </c>
      <c r="J563" s="105" t="s">
        <v>2597</v>
      </c>
    </row>
    <row r="564" spans="1:10" x14ac:dyDescent="0.25">
      <c r="A564" s="16" t="s">
        <v>1376</v>
      </c>
      <c r="B564" s="12" t="s">
        <v>1258</v>
      </c>
      <c r="C564" s="12" t="s">
        <v>1116</v>
      </c>
      <c r="D564" s="12"/>
      <c r="E564" s="12"/>
      <c r="F564" s="12"/>
      <c r="G564" s="12" t="s">
        <v>2302</v>
      </c>
      <c r="H564" s="80" t="s">
        <v>3143</v>
      </c>
      <c r="I564" s="95">
        <v>27</v>
      </c>
      <c r="J564" s="105" t="s">
        <v>2597</v>
      </c>
    </row>
    <row r="565" spans="1:10" x14ac:dyDescent="0.25">
      <c r="A565" s="16" t="s">
        <v>1376</v>
      </c>
      <c r="B565" s="12" t="s">
        <v>1259</v>
      </c>
      <c r="C565" s="12" t="s">
        <v>1193</v>
      </c>
      <c r="D565" s="12"/>
      <c r="E565" s="12"/>
      <c r="F565" s="12"/>
      <c r="G565" s="12" t="s">
        <v>1399</v>
      </c>
      <c r="H565" s="80" t="s">
        <v>3144</v>
      </c>
      <c r="I565" s="95">
        <v>28</v>
      </c>
      <c r="J565" s="105" t="s">
        <v>2597</v>
      </c>
    </row>
    <row r="566" spans="1:10" x14ac:dyDescent="0.25">
      <c r="A566" s="16" t="s">
        <v>1376</v>
      </c>
      <c r="B566" s="12" t="s">
        <v>1260</v>
      </c>
      <c r="C566" s="12" t="s">
        <v>1117</v>
      </c>
      <c r="D566" s="12"/>
      <c r="E566" s="12"/>
      <c r="F566" s="12"/>
      <c r="G566" s="12" t="s">
        <v>2487</v>
      </c>
      <c r="H566" s="80" t="s">
        <v>3145</v>
      </c>
      <c r="I566" s="95">
        <v>29</v>
      </c>
      <c r="J566" s="105" t="s">
        <v>2597</v>
      </c>
    </row>
    <row r="567" spans="1:10" x14ac:dyDescent="0.25">
      <c r="A567" s="16" t="s">
        <v>1376</v>
      </c>
      <c r="B567" s="12" t="s">
        <v>1261</v>
      </c>
      <c r="C567" s="12" t="s">
        <v>1118</v>
      </c>
      <c r="D567" s="12"/>
      <c r="E567" s="12"/>
      <c r="F567" s="12"/>
      <c r="G567" s="12" t="s">
        <v>2488</v>
      </c>
      <c r="H567" s="80" t="s">
        <v>3146</v>
      </c>
      <c r="I567" s="95">
        <v>30</v>
      </c>
      <c r="J567" s="105" t="s">
        <v>2597</v>
      </c>
    </row>
    <row r="568" spans="1:10" x14ac:dyDescent="0.25">
      <c r="A568" s="16" t="s">
        <v>1376</v>
      </c>
      <c r="B568" s="12" t="s">
        <v>1262</v>
      </c>
      <c r="C568" s="12" t="s">
        <v>1119</v>
      </c>
      <c r="D568" s="12"/>
      <c r="E568" s="12"/>
      <c r="F568" s="12"/>
      <c r="G568" s="12" t="s">
        <v>2489</v>
      </c>
      <c r="H568" s="80" t="s">
        <v>3147</v>
      </c>
      <c r="I568" s="95">
        <v>31</v>
      </c>
      <c r="J568" s="105" t="s">
        <v>2597</v>
      </c>
    </row>
    <row r="569" spans="1:10" x14ac:dyDescent="0.25">
      <c r="A569" s="22" t="s">
        <v>1376</v>
      </c>
      <c r="B569" s="48" t="s">
        <v>1263</v>
      </c>
      <c r="C569" s="48" t="s">
        <v>855</v>
      </c>
      <c r="D569" s="48"/>
      <c r="E569" s="48"/>
      <c r="F569" s="48"/>
      <c r="G569" s="48" t="s">
        <v>1436</v>
      </c>
      <c r="H569" s="81" t="s">
        <v>3148</v>
      </c>
      <c r="I569" s="95">
        <v>32</v>
      </c>
      <c r="J569" s="105" t="s">
        <v>2597</v>
      </c>
    </row>
    <row r="570" spans="1:10" x14ac:dyDescent="0.25">
      <c r="A570" s="16" t="s">
        <v>1376</v>
      </c>
      <c r="B570" s="12" t="s">
        <v>1264</v>
      </c>
      <c r="C570" s="12" t="s">
        <v>1385</v>
      </c>
      <c r="D570" s="12"/>
      <c r="E570" s="12"/>
      <c r="F570" s="12"/>
      <c r="G570" s="12" t="s">
        <v>1436</v>
      </c>
      <c r="H570" s="80" t="s">
        <v>3149</v>
      </c>
      <c r="I570" s="95">
        <v>33</v>
      </c>
      <c r="J570" s="105" t="s">
        <v>2597</v>
      </c>
    </row>
    <row r="571" spans="1:10" x14ac:dyDescent="0.25">
      <c r="A571" s="16" t="s">
        <v>1376</v>
      </c>
      <c r="B571" s="12" t="s">
        <v>1265</v>
      </c>
      <c r="C571" s="12" t="s">
        <v>1384</v>
      </c>
      <c r="D571" s="12"/>
      <c r="E571" s="12"/>
      <c r="F571" s="12"/>
      <c r="G571" s="12" t="s">
        <v>1436</v>
      </c>
      <c r="H571" s="80" t="s">
        <v>3150</v>
      </c>
      <c r="I571" s="95">
        <v>34</v>
      </c>
      <c r="J571" s="105" t="s">
        <v>2597</v>
      </c>
    </row>
    <row r="572" spans="1:10" x14ac:dyDescent="0.25">
      <c r="A572" s="16" t="s">
        <v>1376</v>
      </c>
      <c r="B572" s="12" t="s">
        <v>1266</v>
      </c>
      <c r="C572" s="12" t="s">
        <v>1383</v>
      </c>
      <c r="D572" s="12"/>
      <c r="E572" s="12"/>
      <c r="F572" s="12"/>
      <c r="G572" s="12" t="s">
        <v>1436</v>
      </c>
      <c r="H572" s="80" t="s">
        <v>3151</v>
      </c>
      <c r="I572" s="95">
        <v>35</v>
      </c>
      <c r="J572" s="105" t="s">
        <v>2597</v>
      </c>
    </row>
    <row r="573" spans="1:10" x14ac:dyDescent="0.25">
      <c r="A573" s="16" t="s">
        <v>1376</v>
      </c>
      <c r="B573" s="12" t="s">
        <v>1267</v>
      </c>
      <c r="C573" s="12" t="s">
        <v>1382</v>
      </c>
      <c r="D573" s="12"/>
      <c r="E573" s="12"/>
      <c r="F573" s="12"/>
      <c r="G573" s="12" t="s">
        <v>1436</v>
      </c>
      <c r="H573" s="80" t="s">
        <v>3152</v>
      </c>
      <c r="I573" s="95">
        <v>36</v>
      </c>
      <c r="J573" s="105" t="s">
        <v>2597</v>
      </c>
    </row>
    <row r="574" spans="1:10" x14ac:dyDescent="0.25">
      <c r="A574" s="16" t="s">
        <v>1376</v>
      </c>
      <c r="B574" s="12" t="s">
        <v>1268</v>
      </c>
      <c r="C574" s="12" t="s">
        <v>1381</v>
      </c>
      <c r="D574" s="12"/>
      <c r="E574" s="12"/>
      <c r="F574" s="12"/>
      <c r="G574" s="12" t="s">
        <v>1436</v>
      </c>
      <c r="H574" s="80" t="s">
        <v>3153</v>
      </c>
      <c r="I574" s="95">
        <v>37</v>
      </c>
      <c r="J574" s="105" t="s">
        <v>2597</v>
      </c>
    </row>
    <row r="575" spans="1:10" x14ac:dyDescent="0.25">
      <c r="A575" s="16" t="s">
        <v>1376</v>
      </c>
      <c r="B575" s="12" t="s">
        <v>1269</v>
      </c>
      <c r="C575" s="12" t="s">
        <v>1386</v>
      </c>
      <c r="D575" s="12"/>
      <c r="E575" s="12"/>
      <c r="F575" s="12"/>
      <c r="G575" s="12" t="s">
        <v>2490</v>
      </c>
      <c r="H575" s="80" t="s">
        <v>3154</v>
      </c>
      <c r="I575" s="95">
        <v>38</v>
      </c>
      <c r="J575" s="105" t="s">
        <v>2597</v>
      </c>
    </row>
    <row r="576" spans="1:10" x14ac:dyDescent="0.25">
      <c r="A576" s="16" t="s">
        <v>1376</v>
      </c>
      <c r="B576" s="12" t="s">
        <v>1270</v>
      </c>
      <c r="C576" s="12" t="s">
        <v>1120</v>
      </c>
      <c r="D576" s="12"/>
      <c r="E576" s="12"/>
      <c r="F576" s="12"/>
      <c r="G576" s="12" t="s">
        <v>2491</v>
      </c>
      <c r="H576" s="80" t="s">
        <v>3155</v>
      </c>
      <c r="I576" s="95">
        <v>39</v>
      </c>
      <c r="J576" s="105" t="s">
        <v>2597</v>
      </c>
    </row>
    <row r="577" spans="1:10" x14ac:dyDescent="0.25">
      <c r="A577" s="16" t="s">
        <v>1376</v>
      </c>
      <c r="B577" s="12" t="s">
        <v>1271</v>
      </c>
      <c r="C577" s="12" t="s">
        <v>1121</v>
      </c>
      <c r="D577" s="12"/>
      <c r="E577" s="12"/>
      <c r="F577" s="12"/>
      <c r="G577" s="12" t="s">
        <v>2492</v>
      </c>
      <c r="H577" s="80" t="s">
        <v>3156</v>
      </c>
      <c r="I577" s="95">
        <v>40</v>
      </c>
      <c r="J577" s="105" t="s">
        <v>2597</v>
      </c>
    </row>
    <row r="578" spans="1:10" x14ac:dyDescent="0.25">
      <c r="A578" s="16" t="s">
        <v>1376</v>
      </c>
      <c r="B578" s="12" t="s">
        <v>1272</v>
      </c>
      <c r="C578" s="12" t="s">
        <v>1122</v>
      </c>
      <c r="D578" s="12"/>
      <c r="E578" s="12"/>
      <c r="F578" s="12"/>
      <c r="G578" s="12" t="s">
        <v>2492</v>
      </c>
      <c r="H578" s="80" t="s">
        <v>3157</v>
      </c>
      <c r="I578" s="95">
        <v>41</v>
      </c>
      <c r="J578" s="105" t="s">
        <v>2597</v>
      </c>
    </row>
    <row r="579" spans="1:10" x14ac:dyDescent="0.25">
      <c r="A579" s="16" t="s">
        <v>1376</v>
      </c>
      <c r="B579" s="12" t="s">
        <v>1393</v>
      </c>
      <c r="C579" s="12" t="s">
        <v>1194</v>
      </c>
      <c r="D579" s="12"/>
      <c r="E579" s="12"/>
      <c r="F579" s="12"/>
      <c r="G579" s="12" t="s">
        <v>1435</v>
      </c>
      <c r="H579" s="80" t="s">
        <v>3158</v>
      </c>
      <c r="I579" s="95">
        <v>42</v>
      </c>
      <c r="J579" s="105" t="s">
        <v>2597</v>
      </c>
    </row>
    <row r="580" spans="1:10" x14ac:dyDescent="0.25">
      <c r="A580" s="16" t="s">
        <v>1376</v>
      </c>
      <c r="B580" s="12" t="s">
        <v>1387</v>
      </c>
      <c r="C580" s="12" t="s">
        <v>1123</v>
      </c>
      <c r="D580" s="12"/>
      <c r="E580" s="12"/>
      <c r="F580" s="12"/>
      <c r="G580" s="12" t="s">
        <v>2493</v>
      </c>
      <c r="H580" s="80" t="s">
        <v>3159</v>
      </c>
      <c r="I580" s="95">
        <v>43</v>
      </c>
      <c r="J580" s="105" t="s">
        <v>2597</v>
      </c>
    </row>
    <row r="581" spans="1:10" x14ac:dyDescent="0.25">
      <c r="A581" s="16" t="s">
        <v>1376</v>
      </c>
      <c r="B581" s="12" t="s">
        <v>1388</v>
      </c>
      <c r="C581" s="12" t="s">
        <v>1124</v>
      </c>
      <c r="D581" s="12"/>
      <c r="E581" s="12"/>
      <c r="F581" s="12"/>
      <c r="G581" s="12" t="s">
        <v>2494</v>
      </c>
      <c r="H581" s="80" t="s">
        <v>3160</v>
      </c>
      <c r="I581" s="95">
        <v>44</v>
      </c>
      <c r="J581" s="105" t="s">
        <v>2597</v>
      </c>
    </row>
    <row r="582" spans="1:10" x14ac:dyDescent="0.25">
      <c r="A582" s="16" t="s">
        <v>1376</v>
      </c>
      <c r="B582" s="12" t="s">
        <v>1389</v>
      </c>
      <c r="C582" s="12" t="s">
        <v>1125</v>
      </c>
      <c r="D582" s="12"/>
      <c r="E582" s="12"/>
      <c r="F582" s="12"/>
      <c r="G582" s="12" t="s">
        <v>2495</v>
      </c>
      <c r="H582" s="80" t="s">
        <v>3161</v>
      </c>
      <c r="I582" s="95">
        <v>45</v>
      </c>
      <c r="J582" s="105" t="s">
        <v>2597</v>
      </c>
    </row>
    <row r="583" spans="1:10" x14ac:dyDescent="0.25">
      <c r="A583" s="16" t="s">
        <v>1376</v>
      </c>
      <c r="B583" s="12" t="s">
        <v>1390</v>
      </c>
      <c r="C583" s="12" t="s">
        <v>1126</v>
      </c>
      <c r="D583" s="12"/>
      <c r="E583" s="12"/>
      <c r="F583" s="12"/>
      <c r="G583" s="12" t="s">
        <v>2496</v>
      </c>
      <c r="H583" s="80" t="s">
        <v>3162</v>
      </c>
      <c r="I583" s="95">
        <v>46</v>
      </c>
      <c r="J583" s="105" t="s">
        <v>2597</v>
      </c>
    </row>
    <row r="584" spans="1:10" x14ac:dyDescent="0.25">
      <c r="A584" s="16" t="s">
        <v>1376</v>
      </c>
      <c r="B584" s="12" t="s">
        <v>1391</v>
      </c>
      <c r="C584" s="12" t="s">
        <v>1127</v>
      </c>
      <c r="D584" s="12"/>
      <c r="E584" s="12"/>
      <c r="F584" s="12"/>
      <c r="G584" s="12" t="s">
        <v>2497</v>
      </c>
      <c r="H584" s="80" t="s">
        <v>3163</v>
      </c>
      <c r="I584" s="95">
        <v>47</v>
      </c>
      <c r="J584" s="105" t="s">
        <v>2597</v>
      </c>
    </row>
    <row r="585" spans="1:10" x14ac:dyDescent="0.25">
      <c r="A585" s="16" t="s">
        <v>1376</v>
      </c>
      <c r="B585" s="12" t="s">
        <v>1392</v>
      </c>
      <c r="C585" s="12" t="s">
        <v>1128</v>
      </c>
      <c r="D585" s="12"/>
      <c r="E585" s="12"/>
      <c r="F585" s="12"/>
      <c r="G585" s="12" t="s">
        <v>2498</v>
      </c>
      <c r="H585" s="80" t="s">
        <v>3164</v>
      </c>
      <c r="I585" s="95">
        <v>48</v>
      </c>
      <c r="J585" s="105" t="s">
        <v>2597</v>
      </c>
    </row>
    <row r="586" spans="1:10" x14ac:dyDescent="0.25">
      <c r="A586" s="22" t="s">
        <v>1376</v>
      </c>
      <c r="B586" s="48" t="s">
        <v>1273</v>
      </c>
      <c r="C586" s="48" t="s">
        <v>877</v>
      </c>
      <c r="D586" s="48"/>
      <c r="E586" s="48"/>
      <c r="F586" s="48"/>
      <c r="G586" s="48" t="s">
        <v>2303</v>
      </c>
      <c r="H586" s="81" t="s">
        <v>3165</v>
      </c>
      <c r="I586" s="95">
        <v>49</v>
      </c>
      <c r="J586" s="105" t="s">
        <v>2597</v>
      </c>
    </row>
    <row r="587" spans="1:10" x14ac:dyDescent="0.25">
      <c r="A587" s="16" t="s">
        <v>1376</v>
      </c>
      <c r="B587" s="12" t="s">
        <v>1274</v>
      </c>
      <c r="C587" s="12" t="s">
        <v>1214</v>
      </c>
      <c r="D587" s="12"/>
      <c r="E587" s="12"/>
      <c r="F587" s="12"/>
      <c r="G587" s="12" t="s">
        <v>2499</v>
      </c>
      <c r="H587" s="80" t="s">
        <v>3166</v>
      </c>
      <c r="I587" s="95">
        <v>50</v>
      </c>
      <c r="J587" s="105" t="s">
        <v>2597</v>
      </c>
    </row>
    <row r="588" spans="1:10" x14ac:dyDescent="0.25">
      <c r="A588" s="16" t="s">
        <v>1376</v>
      </c>
      <c r="B588" s="12" t="s">
        <v>1275</v>
      </c>
      <c r="C588" s="12" t="s">
        <v>1129</v>
      </c>
      <c r="D588" s="12"/>
      <c r="E588" s="12"/>
      <c r="F588" s="12"/>
      <c r="G588" s="12" t="s">
        <v>2500</v>
      </c>
      <c r="H588" s="80" t="s">
        <v>3167</v>
      </c>
      <c r="I588" s="95">
        <v>51</v>
      </c>
      <c r="J588" s="105" t="s">
        <v>2597</v>
      </c>
    </row>
    <row r="589" spans="1:10" x14ac:dyDescent="0.25">
      <c r="A589" s="16" t="s">
        <v>1376</v>
      </c>
      <c r="B589" s="12" t="s">
        <v>1276</v>
      </c>
      <c r="C589" s="12" t="s">
        <v>1130</v>
      </c>
      <c r="D589" s="12"/>
      <c r="E589" s="12"/>
      <c r="F589" s="12"/>
      <c r="G589" s="12" t="s">
        <v>2501</v>
      </c>
      <c r="H589" s="80" t="s">
        <v>3168</v>
      </c>
      <c r="I589" s="95">
        <v>52</v>
      </c>
      <c r="J589" s="105" t="s">
        <v>2597</v>
      </c>
    </row>
    <row r="590" spans="1:10" x14ac:dyDescent="0.25">
      <c r="A590" s="16" t="s">
        <v>1376</v>
      </c>
      <c r="B590" s="12" t="s">
        <v>1277</v>
      </c>
      <c r="C590" s="12" t="s">
        <v>1131</v>
      </c>
      <c r="D590" s="12"/>
      <c r="E590" s="12"/>
      <c r="F590" s="12"/>
      <c r="G590" s="12" t="s">
        <v>2502</v>
      </c>
      <c r="H590" s="80" t="s">
        <v>3169</v>
      </c>
      <c r="I590" s="95">
        <v>53</v>
      </c>
      <c r="J590" s="105" t="s">
        <v>2597</v>
      </c>
    </row>
    <row r="591" spans="1:10" x14ac:dyDescent="0.25">
      <c r="A591" s="16" t="s">
        <v>1376</v>
      </c>
      <c r="B591" s="12" t="s">
        <v>1278</v>
      </c>
      <c r="C591" s="12" t="s">
        <v>1195</v>
      </c>
      <c r="D591" s="12"/>
      <c r="E591" s="12"/>
      <c r="F591" s="12"/>
      <c r="G591" s="12" t="s">
        <v>2503</v>
      </c>
      <c r="H591" s="80" t="s">
        <v>3170</v>
      </c>
      <c r="I591" s="95">
        <v>54</v>
      </c>
      <c r="J591" s="105" t="s">
        <v>2597</v>
      </c>
    </row>
    <row r="592" spans="1:10" x14ac:dyDescent="0.25">
      <c r="A592" s="16" t="s">
        <v>1376</v>
      </c>
      <c r="B592" s="12" t="s">
        <v>1279</v>
      </c>
      <c r="C592" s="12" t="s">
        <v>1132</v>
      </c>
      <c r="D592" s="12"/>
      <c r="E592" s="12"/>
      <c r="F592" s="12"/>
      <c r="G592" s="12" t="s">
        <v>2504</v>
      </c>
      <c r="H592" s="80" t="s">
        <v>3171</v>
      </c>
      <c r="I592" s="95">
        <v>55</v>
      </c>
      <c r="J592" s="105" t="s">
        <v>2597</v>
      </c>
    </row>
    <row r="593" spans="1:10" x14ac:dyDescent="0.25">
      <c r="A593" s="16" t="s">
        <v>1376</v>
      </c>
      <c r="B593" s="12" t="s">
        <v>1280</v>
      </c>
      <c r="C593" s="12" t="s">
        <v>1133</v>
      </c>
      <c r="D593" s="12"/>
      <c r="E593" s="12"/>
      <c r="F593" s="12"/>
      <c r="G593" s="12" t="s">
        <v>2505</v>
      </c>
      <c r="H593" s="80" t="s">
        <v>3172</v>
      </c>
      <c r="I593" s="95">
        <v>56</v>
      </c>
      <c r="J593" s="105" t="s">
        <v>2597</v>
      </c>
    </row>
    <row r="594" spans="1:10" x14ac:dyDescent="0.25">
      <c r="A594" s="16" t="s">
        <v>1376</v>
      </c>
      <c r="B594" s="12" t="s">
        <v>1281</v>
      </c>
      <c r="C594" s="12" t="s">
        <v>1134</v>
      </c>
      <c r="D594" s="12"/>
      <c r="E594" s="12"/>
      <c r="F594" s="12"/>
      <c r="G594" s="12" t="s">
        <v>2506</v>
      </c>
      <c r="H594" s="80" t="s">
        <v>3173</v>
      </c>
      <c r="I594" s="95">
        <v>57</v>
      </c>
      <c r="J594" s="105" t="s">
        <v>2597</v>
      </c>
    </row>
    <row r="595" spans="1:10" x14ac:dyDescent="0.25">
      <c r="A595" s="16" t="s">
        <v>1376</v>
      </c>
      <c r="B595" s="12" t="s">
        <v>1282</v>
      </c>
      <c r="C595" s="12" t="s">
        <v>1135</v>
      </c>
      <c r="D595" s="12"/>
      <c r="E595" s="12"/>
      <c r="F595" s="12"/>
      <c r="G595" s="12" t="s">
        <v>2507</v>
      </c>
      <c r="H595" s="80" t="s">
        <v>3174</v>
      </c>
      <c r="I595" s="95">
        <v>58</v>
      </c>
      <c r="J595" s="105" t="s">
        <v>2597</v>
      </c>
    </row>
    <row r="596" spans="1:10" x14ac:dyDescent="0.25">
      <c r="A596" s="16" t="s">
        <v>1376</v>
      </c>
      <c r="B596" s="12" t="s">
        <v>1283</v>
      </c>
      <c r="C596" s="12" t="s">
        <v>1196</v>
      </c>
      <c r="D596" s="12"/>
      <c r="E596" s="12"/>
      <c r="F596" s="12"/>
      <c r="G596" s="12" t="s">
        <v>2508</v>
      </c>
      <c r="H596" s="80" t="s">
        <v>3175</v>
      </c>
      <c r="I596" s="95">
        <v>59</v>
      </c>
      <c r="J596" s="105" t="s">
        <v>2597</v>
      </c>
    </row>
    <row r="597" spans="1:10" x14ac:dyDescent="0.25">
      <c r="A597" s="16" t="s">
        <v>1376</v>
      </c>
      <c r="B597" s="12" t="s">
        <v>1284</v>
      </c>
      <c r="C597" s="12" t="s">
        <v>1136</v>
      </c>
      <c r="D597" s="12"/>
      <c r="E597" s="12"/>
      <c r="F597" s="12"/>
      <c r="G597" s="12" t="s">
        <v>2509</v>
      </c>
      <c r="H597" s="80" t="s">
        <v>3176</v>
      </c>
      <c r="I597" s="95">
        <v>60</v>
      </c>
      <c r="J597" s="105" t="s">
        <v>2597</v>
      </c>
    </row>
    <row r="598" spans="1:10" x14ac:dyDescent="0.25">
      <c r="A598" s="16" t="s">
        <v>1376</v>
      </c>
      <c r="B598" s="12" t="s">
        <v>1285</v>
      </c>
      <c r="C598" s="12" t="s">
        <v>1137</v>
      </c>
      <c r="D598" s="12"/>
      <c r="E598" s="12"/>
      <c r="F598" s="12"/>
      <c r="G598" s="12" t="s">
        <v>2510</v>
      </c>
      <c r="H598" s="80" t="s">
        <v>3177</v>
      </c>
      <c r="I598" s="95">
        <v>61</v>
      </c>
      <c r="J598" s="105" t="s">
        <v>2597</v>
      </c>
    </row>
    <row r="599" spans="1:10" x14ac:dyDescent="0.25">
      <c r="A599" s="16" t="s">
        <v>1376</v>
      </c>
      <c r="B599" s="12" t="s">
        <v>1286</v>
      </c>
      <c r="C599" s="12" t="s">
        <v>1138</v>
      </c>
      <c r="D599" s="12"/>
      <c r="E599" s="12"/>
      <c r="F599" s="12"/>
      <c r="G599" s="12" t="s">
        <v>2511</v>
      </c>
      <c r="H599" s="80" t="s">
        <v>3178</v>
      </c>
      <c r="I599" s="95">
        <v>62</v>
      </c>
      <c r="J599" s="105" t="s">
        <v>2597</v>
      </c>
    </row>
    <row r="600" spans="1:10" x14ac:dyDescent="0.25">
      <c r="A600" s="16" t="s">
        <v>1376</v>
      </c>
      <c r="B600" s="12" t="s">
        <v>1287</v>
      </c>
      <c r="C600" s="12" t="s">
        <v>1139</v>
      </c>
      <c r="D600" s="12"/>
      <c r="E600" s="12"/>
      <c r="F600" s="12"/>
      <c r="G600" s="12" t="s">
        <v>2512</v>
      </c>
      <c r="H600" s="80" t="s">
        <v>3179</v>
      </c>
      <c r="I600" s="95">
        <v>63</v>
      </c>
      <c r="J600" s="105" t="s">
        <v>2597</v>
      </c>
    </row>
    <row r="601" spans="1:10" x14ac:dyDescent="0.25">
      <c r="A601" s="22" t="s">
        <v>1376</v>
      </c>
      <c r="B601" s="48" t="s">
        <v>1288</v>
      </c>
      <c r="C601" s="48" t="s">
        <v>901</v>
      </c>
      <c r="D601" s="48"/>
      <c r="E601" s="48"/>
      <c r="F601" s="48"/>
      <c r="G601" s="48" t="s">
        <v>2513</v>
      </c>
      <c r="H601" s="81" t="s">
        <v>3180</v>
      </c>
      <c r="I601" s="95">
        <v>64</v>
      </c>
      <c r="J601" s="105" t="s">
        <v>2597</v>
      </c>
    </row>
    <row r="602" spans="1:10" x14ac:dyDescent="0.25">
      <c r="A602" s="16" t="s">
        <v>1376</v>
      </c>
      <c r="B602" s="12" t="s">
        <v>1289</v>
      </c>
      <c r="C602" s="12" t="s">
        <v>1215</v>
      </c>
      <c r="D602" s="12"/>
      <c r="E602" s="12"/>
      <c r="F602" s="12"/>
      <c r="G602" s="12" t="s">
        <v>2514</v>
      </c>
      <c r="H602" s="80" t="s">
        <v>3181</v>
      </c>
      <c r="I602" s="95">
        <v>65</v>
      </c>
      <c r="J602" s="105" t="s">
        <v>2597</v>
      </c>
    </row>
    <row r="603" spans="1:10" x14ac:dyDescent="0.25">
      <c r="A603" s="16" t="s">
        <v>1376</v>
      </c>
      <c r="B603" s="12" t="s">
        <v>1290</v>
      </c>
      <c r="C603" s="12" t="s">
        <v>1140</v>
      </c>
      <c r="D603" s="12"/>
      <c r="E603" s="12"/>
      <c r="F603" s="12"/>
      <c r="G603" s="12" t="s">
        <v>2515</v>
      </c>
      <c r="H603" s="80" t="s">
        <v>3182</v>
      </c>
      <c r="I603" s="95">
        <v>66</v>
      </c>
      <c r="J603" s="105" t="s">
        <v>2597</v>
      </c>
    </row>
    <row r="604" spans="1:10" x14ac:dyDescent="0.25">
      <c r="A604" s="16" t="s">
        <v>1376</v>
      </c>
      <c r="B604" s="12" t="s">
        <v>1291</v>
      </c>
      <c r="C604" s="12" t="s">
        <v>1141</v>
      </c>
      <c r="D604" s="12"/>
      <c r="E604" s="12"/>
      <c r="F604" s="12"/>
      <c r="G604" s="12" t="s">
        <v>2516</v>
      </c>
      <c r="H604" s="80" t="s">
        <v>3183</v>
      </c>
      <c r="I604" s="95">
        <v>67</v>
      </c>
      <c r="J604" s="105" t="s">
        <v>2597</v>
      </c>
    </row>
    <row r="605" spans="1:10" x14ac:dyDescent="0.25">
      <c r="A605" s="16" t="s">
        <v>1376</v>
      </c>
      <c r="B605" s="12" t="s">
        <v>1292</v>
      </c>
      <c r="C605" s="12" t="s">
        <v>1142</v>
      </c>
      <c r="D605" s="12"/>
      <c r="E605" s="12"/>
      <c r="F605" s="12"/>
      <c r="G605" s="12" t="s">
        <v>2517</v>
      </c>
      <c r="H605" s="80" t="s">
        <v>3184</v>
      </c>
      <c r="I605" s="95">
        <v>68</v>
      </c>
      <c r="J605" s="105" t="s">
        <v>2597</v>
      </c>
    </row>
    <row r="606" spans="1:10" x14ac:dyDescent="0.25">
      <c r="A606" s="16" t="s">
        <v>1376</v>
      </c>
      <c r="B606" s="12" t="s">
        <v>1293</v>
      </c>
      <c r="C606" s="12" t="s">
        <v>1197</v>
      </c>
      <c r="D606" s="12"/>
      <c r="E606" s="12"/>
      <c r="F606" s="12"/>
      <c r="G606" s="12" t="s">
        <v>2518</v>
      </c>
      <c r="H606" s="80" t="s">
        <v>3185</v>
      </c>
      <c r="I606" s="95">
        <v>69</v>
      </c>
      <c r="J606" s="105" t="s">
        <v>2597</v>
      </c>
    </row>
    <row r="607" spans="1:10" x14ac:dyDescent="0.25">
      <c r="A607" s="16" t="s">
        <v>1376</v>
      </c>
      <c r="B607" s="12" t="s">
        <v>1294</v>
      </c>
      <c r="C607" s="12" t="s">
        <v>1143</v>
      </c>
      <c r="D607" s="12"/>
      <c r="E607" s="12"/>
      <c r="F607" s="12"/>
      <c r="G607" s="12" t="s">
        <v>2519</v>
      </c>
      <c r="H607" s="80" t="s">
        <v>3186</v>
      </c>
      <c r="I607" s="95">
        <v>70</v>
      </c>
      <c r="J607" s="105" t="s">
        <v>2597</v>
      </c>
    </row>
    <row r="608" spans="1:10" x14ac:dyDescent="0.25">
      <c r="A608" s="16" t="s">
        <v>1376</v>
      </c>
      <c r="B608" s="12" t="s">
        <v>1295</v>
      </c>
      <c r="C608" s="12" t="s">
        <v>1144</v>
      </c>
      <c r="D608" s="12"/>
      <c r="E608" s="12"/>
      <c r="F608" s="12"/>
      <c r="G608" s="12" t="s">
        <v>2520</v>
      </c>
      <c r="H608" s="80" t="s">
        <v>3187</v>
      </c>
      <c r="I608" s="95">
        <v>71</v>
      </c>
      <c r="J608" s="105" t="s">
        <v>2597</v>
      </c>
    </row>
    <row r="609" spans="1:10" x14ac:dyDescent="0.25">
      <c r="A609" s="16" t="s">
        <v>1376</v>
      </c>
      <c r="B609" s="12" t="s">
        <v>1296</v>
      </c>
      <c r="C609" s="12" t="s">
        <v>1198</v>
      </c>
      <c r="D609" s="12"/>
      <c r="E609" s="12"/>
      <c r="F609" s="12"/>
      <c r="G609" s="12" t="s">
        <v>2521</v>
      </c>
      <c r="H609" s="80" t="s">
        <v>3188</v>
      </c>
      <c r="I609" s="95">
        <v>72</v>
      </c>
      <c r="J609" s="105" t="s">
        <v>2597</v>
      </c>
    </row>
    <row r="610" spans="1:10" x14ac:dyDescent="0.25">
      <c r="A610" s="16" t="s">
        <v>1376</v>
      </c>
      <c r="B610" s="12" t="s">
        <v>1297</v>
      </c>
      <c r="C610" s="12" t="s">
        <v>1145</v>
      </c>
      <c r="D610" s="12"/>
      <c r="E610" s="12"/>
      <c r="F610" s="12"/>
      <c r="G610" s="12" t="s">
        <v>2522</v>
      </c>
      <c r="H610" s="80" t="s">
        <v>3189</v>
      </c>
      <c r="I610" s="95">
        <v>73</v>
      </c>
      <c r="J610" s="105" t="s">
        <v>2597</v>
      </c>
    </row>
    <row r="611" spans="1:10" x14ac:dyDescent="0.25">
      <c r="A611" s="16" t="s">
        <v>1376</v>
      </c>
      <c r="B611" s="12" t="s">
        <v>1298</v>
      </c>
      <c r="C611" s="12" t="s">
        <v>1146</v>
      </c>
      <c r="D611" s="12"/>
      <c r="E611" s="12"/>
      <c r="F611" s="12"/>
      <c r="G611" s="12" t="s">
        <v>2523</v>
      </c>
      <c r="H611" s="80" t="s">
        <v>3190</v>
      </c>
      <c r="I611" s="95">
        <v>74</v>
      </c>
      <c r="J611" s="105" t="s">
        <v>2597</v>
      </c>
    </row>
    <row r="612" spans="1:10" x14ac:dyDescent="0.25">
      <c r="A612" s="22" t="s">
        <v>1376</v>
      </c>
      <c r="B612" s="48" t="s">
        <v>1299</v>
      </c>
      <c r="C612" s="48" t="s">
        <v>915</v>
      </c>
      <c r="D612" s="48"/>
      <c r="E612" s="48"/>
      <c r="F612" s="48"/>
      <c r="G612" s="48" t="s">
        <v>2524</v>
      </c>
      <c r="H612" s="81" t="s">
        <v>3191</v>
      </c>
      <c r="I612" s="95">
        <v>75</v>
      </c>
      <c r="J612" s="105" t="s">
        <v>2597</v>
      </c>
    </row>
    <row r="613" spans="1:10" x14ac:dyDescent="0.25">
      <c r="A613" s="16" t="s">
        <v>1376</v>
      </c>
      <c r="B613" s="12" t="s">
        <v>1300</v>
      </c>
      <c r="C613" s="12" t="s">
        <v>1216</v>
      </c>
      <c r="D613" s="12"/>
      <c r="E613" s="12"/>
      <c r="F613" s="12"/>
      <c r="G613" s="12" t="s">
        <v>2525</v>
      </c>
      <c r="H613" s="80" t="s">
        <v>3192</v>
      </c>
      <c r="I613" s="95">
        <v>76</v>
      </c>
      <c r="J613" s="105" t="s">
        <v>2597</v>
      </c>
    </row>
    <row r="614" spans="1:10" x14ac:dyDescent="0.25">
      <c r="A614" s="16" t="s">
        <v>1376</v>
      </c>
      <c r="B614" s="12" t="s">
        <v>1301</v>
      </c>
      <c r="C614" s="12" t="s">
        <v>1147</v>
      </c>
      <c r="D614" s="12"/>
      <c r="E614" s="12"/>
      <c r="F614" s="12"/>
      <c r="G614" s="12" t="s">
        <v>2526</v>
      </c>
      <c r="H614" s="80" t="s">
        <v>3193</v>
      </c>
      <c r="I614" s="95">
        <v>77</v>
      </c>
      <c r="J614" s="105" t="s">
        <v>2597</v>
      </c>
    </row>
    <row r="615" spans="1:10" x14ac:dyDescent="0.25">
      <c r="A615" s="16" t="s">
        <v>1376</v>
      </c>
      <c r="B615" s="12" t="s">
        <v>1302</v>
      </c>
      <c r="C615" s="12" t="s">
        <v>1148</v>
      </c>
      <c r="D615" s="12"/>
      <c r="E615" s="12"/>
      <c r="F615" s="12"/>
      <c r="G615" s="12" t="s">
        <v>2527</v>
      </c>
      <c r="H615" s="80" t="s">
        <v>3194</v>
      </c>
      <c r="I615" s="95">
        <v>78</v>
      </c>
      <c r="J615" s="105" t="s">
        <v>2597</v>
      </c>
    </row>
    <row r="616" spans="1:10" x14ac:dyDescent="0.25">
      <c r="A616" s="16" t="s">
        <v>1376</v>
      </c>
      <c r="B616" s="12" t="s">
        <v>1303</v>
      </c>
      <c r="C616" s="12" t="s">
        <v>1199</v>
      </c>
      <c r="D616" s="12"/>
      <c r="E616" s="12"/>
      <c r="F616" s="12"/>
      <c r="G616" s="12" t="s">
        <v>2528</v>
      </c>
      <c r="H616" s="80" t="s">
        <v>3195</v>
      </c>
      <c r="I616" s="95">
        <v>79</v>
      </c>
      <c r="J616" s="105" t="s">
        <v>2597</v>
      </c>
    </row>
    <row r="617" spans="1:10" x14ac:dyDescent="0.25">
      <c r="A617" s="16" t="s">
        <v>1376</v>
      </c>
      <c r="B617" s="12" t="s">
        <v>1304</v>
      </c>
      <c r="C617" s="12" t="s">
        <v>1149</v>
      </c>
      <c r="D617" s="12"/>
      <c r="E617" s="12"/>
      <c r="F617" s="12"/>
      <c r="G617" s="12" t="s">
        <v>2529</v>
      </c>
      <c r="H617" s="80" t="s">
        <v>3196</v>
      </c>
      <c r="I617" s="95">
        <v>80</v>
      </c>
      <c r="J617" s="105" t="s">
        <v>2597</v>
      </c>
    </row>
    <row r="618" spans="1:10" x14ac:dyDescent="0.25">
      <c r="A618" s="16" t="s">
        <v>1376</v>
      </c>
      <c r="B618" s="12" t="s">
        <v>1305</v>
      </c>
      <c r="C618" s="12" t="s">
        <v>1150</v>
      </c>
      <c r="D618" s="12"/>
      <c r="E618" s="12"/>
      <c r="F618" s="12"/>
      <c r="G618" s="12" t="s">
        <v>2530</v>
      </c>
      <c r="H618" s="80" t="s">
        <v>3197</v>
      </c>
      <c r="I618" s="95">
        <v>81</v>
      </c>
      <c r="J618" s="105" t="s">
        <v>2597</v>
      </c>
    </row>
    <row r="619" spans="1:10" x14ac:dyDescent="0.25">
      <c r="A619" s="16" t="s">
        <v>1376</v>
      </c>
      <c r="B619" s="12" t="s">
        <v>1306</v>
      </c>
      <c r="C619" s="12" t="s">
        <v>1151</v>
      </c>
      <c r="D619" s="12"/>
      <c r="E619" s="12"/>
      <c r="F619" s="12"/>
      <c r="G619" s="12" t="s">
        <v>2531</v>
      </c>
      <c r="H619" s="80" t="s">
        <v>3198</v>
      </c>
      <c r="I619" s="95">
        <v>82</v>
      </c>
      <c r="J619" s="105" t="s">
        <v>2597</v>
      </c>
    </row>
    <row r="620" spans="1:10" x14ac:dyDescent="0.25">
      <c r="A620" s="16" t="s">
        <v>1376</v>
      </c>
      <c r="B620" s="12" t="s">
        <v>1307</v>
      </c>
      <c r="C620" s="12" t="s">
        <v>1200</v>
      </c>
      <c r="D620" s="12"/>
      <c r="E620" s="12"/>
      <c r="F620" s="12"/>
      <c r="G620" s="12" t="s">
        <v>2532</v>
      </c>
      <c r="H620" s="80" t="s">
        <v>3199</v>
      </c>
      <c r="I620" s="95">
        <v>83</v>
      </c>
      <c r="J620" s="105" t="s">
        <v>2597</v>
      </c>
    </row>
    <row r="621" spans="1:10" x14ac:dyDescent="0.25">
      <c r="A621" s="16" t="s">
        <v>1376</v>
      </c>
      <c r="B621" s="12" t="s">
        <v>1308</v>
      </c>
      <c r="C621" s="12" t="s">
        <v>1152</v>
      </c>
      <c r="D621" s="12"/>
      <c r="E621" s="12"/>
      <c r="F621" s="12"/>
      <c r="G621" s="12" t="s">
        <v>2533</v>
      </c>
      <c r="H621" s="80" t="s">
        <v>3200</v>
      </c>
      <c r="I621" s="95">
        <v>84</v>
      </c>
      <c r="J621" s="105" t="s">
        <v>2597</v>
      </c>
    </row>
    <row r="622" spans="1:10" x14ac:dyDescent="0.25">
      <c r="A622" s="16" t="s">
        <v>1376</v>
      </c>
      <c r="B622" s="12" t="s">
        <v>1309</v>
      </c>
      <c r="C622" s="12" t="s">
        <v>1153</v>
      </c>
      <c r="D622" s="12"/>
      <c r="E622" s="12"/>
      <c r="F622" s="12"/>
      <c r="G622" s="12" t="s">
        <v>2534</v>
      </c>
      <c r="H622" s="80" t="s">
        <v>3201</v>
      </c>
      <c r="I622" s="95">
        <v>85</v>
      </c>
      <c r="J622" s="105" t="s">
        <v>2597</v>
      </c>
    </row>
    <row r="623" spans="1:10" x14ac:dyDescent="0.25">
      <c r="A623" s="16" t="s">
        <v>1376</v>
      </c>
      <c r="B623" s="12" t="s">
        <v>1310</v>
      </c>
      <c r="C623" s="12" t="s">
        <v>1154</v>
      </c>
      <c r="D623" s="12"/>
      <c r="E623" s="12"/>
      <c r="F623" s="12"/>
      <c r="G623" s="12" t="s">
        <v>2535</v>
      </c>
      <c r="H623" s="80" t="s">
        <v>3202</v>
      </c>
      <c r="I623" s="95">
        <v>86</v>
      </c>
      <c r="J623" s="105" t="s">
        <v>2597</v>
      </c>
    </row>
    <row r="624" spans="1:10" x14ac:dyDescent="0.25">
      <c r="A624" s="16" t="s">
        <v>1376</v>
      </c>
      <c r="B624" s="12" t="s">
        <v>1311</v>
      </c>
      <c r="C624" s="12" t="s">
        <v>1155</v>
      </c>
      <c r="D624" s="12"/>
      <c r="E624" s="12"/>
      <c r="F624" s="12"/>
      <c r="G624" s="12" t="s">
        <v>2536</v>
      </c>
      <c r="H624" s="80" t="s">
        <v>3203</v>
      </c>
      <c r="I624" s="95">
        <v>87</v>
      </c>
      <c r="J624" s="105" t="s">
        <v>2597</v>
      </c>
    </row>
    <row r="625" spans="1:10" x14ac:dyDescent="0.25">
      <c r="A625" s="22" t="s">
        <v>1376</v>
      </c>
      <c r="B625" s="48" t="s">
        <v>1312</v>
      </c>
      <c r="C625" s="48" t="s">
        <v>1211</v>
      </c>
      <c r="D625" s="48"/>
      <c r="E625" s="48"/>
      <c r="F625" s="48"/>
      <c r="G625" s="48" t="s">
        <v>2304</v>
      </c>
      <c r="H625" s="81" t="s">
        <v>3204</v>
      </c>
      <c r="I625" s="95">
        <v>88</v>
      </c>
      <c r="J625" s="105" t="s">
        <v>2597</v>
      </c>
    </row>
    <row r="626" spans="1:10" x14ac:dyDescent="0.25">
      <c r="A626" s="16" t="s">
        <v>1376</v>
      </c>
      <c r="B626" s="12" t="s">
        <v>1313</v>
      </c>
      <c r="C626" s="12" t="s">
        <v>1217</v>
      </c>
      <c r="D626" s="12"/>
      <c r="E626" s="12"/>
      <c r="F626" s="12"/>
      <c r="G626" s="12" t="s">
        <v>2537</v>
      </c>
      <c r="H626" s="80" t="s">
        <v>3205</v>
      </c>
      <c r="I626" s="95">
        <v>89</v>
      </c>
      <c r="J626" s="105" t="s">
        <v>2597</v>
      </c>
    </row>
    <row r="627" spans="1:10" x14ac:dyDescent="0.25">
      <c r="A627" s="16" t="s">
        <v>1376</v>
      </c>
      <c r="B627" s="12" t="s">
        <v>1314</v>
      </c>
      <c r="C627" s="12" t="s">
        <v>1212</v>
      </c>
      <c r="D627" s="12"/>
      <c r="E627" s="12"/>
      <c r="F627" s="12"/>
      <c r="G627" s="12" t="s">
        <v>2538</v>
      </c>
      <c r="H627" s="80" t="s">
        <v>3206</v>
      </c>
      <c r="I627" s="95">
        <v>90</v>
      </c>
      <c r="J627" s="105" t="s">
        <v>2597</v>
      </c>
    </row>
    <row r="628" spans="1:10" x14ac:dyDescent="0.25">
      <c r="A628" s="16" t="s">
        <v>1376</v>
      </c>
      <c r="B628" s="12" t="s">
        <v>1315</v>
      </c>
      <c r="C628" s="12" t="s">
        <v>1226</v>
      </c>
      <c r="D628" s="12"/>
      <c r="E628" s="12"/>
      <c r="F628" s="12"/>
      <c r="G628" s="12" t="s">
        <v>2539</v>
      </c>
      <c r="H628" s="80" t="s">
        <v>3207</v>
      </c>
      <c r="I628" s="95">
        <v>91</v>
      </c>
      <c r="J628" s="105" t="s">
        <v>2597</v>
      </c>
    </row>
    <row r="629" spans="1:10" x14ac:dyDescent="0.25">
      <c r="A629" s="16" t="s">
        <v>1376</v>
      </c>
      <c r="B629" s="12" t="s">
        <v>1316</v>
      </c>
      <c r="C629" s="12" t="s">
        <v>1227</v>
      </c>
      <c r="D629" s="12"/>
      <c r="E629" s="12"/>
      <c r="F629" s="12"/>
      <c r="G629" s="12" t="s">
        <v>2540</v>
      </c>
      <c r="H629" s="80" t="s">
        <v>3208</v>
      </c>
      <c r="I629" s="95">
        <v>92</v>
      </c>
      <c r="J629" s="105" t="s">
        <v>2597</v>
      </c>
    </row>
    <row r="630" spans="1:10" x14ac:dyDescent="0.25">
      <c r="A630" s="16" t="s">
        <v>1376</v>
      </c>
      <c r="B630" s="12" t="s">
        <v>1317</v>
      </c>
      <c r="C630" s="12" t="s">
        <v>1228</v>
      </c>
      <c r="D630" s="12"/>
      <c r="E630" s="12"/>
      <c r="F630" s="12"/>
      <c r="G630" s="12" t="s">
        <v>2541</v>
      </c>
      <c r="H630" s="80" t="s">
        <v>3209</v>
      </c>
      <c r="I630" s="95">
        <v>93</v>
      </c>
      <c r="J630" s="105" t="s">
        <v>2597</v>
      </c>
    </row>
    <row r="631" spans="1:10" x14ac:dyDescent="0.25">
      <c r="A631" s="16" t="s">
        <v>1376</v>
      </c>
      <c r="B631" s="12" t="s">
        <v>1318</v>
      </c>
      <c r="C631" s="12" t="s">
        <v>1229</v>
      </c>
      <c r="D631" s="12"/>
      <c r="E631" s="12"/>
      <c r="F631" s="12"/>
      <c r="G631" s="12" t="s">
        <v>2542</v>
      </c>
      <c r="H631" s="80" t="s">
        <v>3210</v>
      </c>
      <c r="I631" s="95">
        <v>94</v>
      </c>
      <c r="J631" s="105" t="s">
        <v>2597</v>
      </c>
    </row>
    <row r="632" spans="1:10" x14ac:dyDescent="0.25">
      <c r="A632" s="16" t="s">
        <v>1376</v>
      </c>
      <c r="B632" s="12" t="s">
        <v>1319</v>
      </c>
      <c r="C632" s="12" t="s">
        <v>1230</v>
      </c>
      <c r="D632" s="12"/>
      <c r="E632" s="12"/>
      <c r="F632" s="12"/>
      <c r="G632" s="12" t="s">
        <v>2543</v>
      </c>
      <c r="H632" s="80" t="s">
        <v>3211</v>
      </c>
      <c r="I632" s="95">
        <v>95</v>
      </c>
      <c r="J632" s="105" t="s">
        <v>2597</v>
      </c>
    </row>
    <row r="633" spans="1:10" x14ac:dyDescent="0.25">
      <c r="A633" s="16" t="s">
        <v>1376</v>
      </c>
      <c r="B633" s="12" t="s">
        <v>1320</v>
      </c>
      <c r="C633" s="12" t="s">
        <v>1398</v>
      </c>
      <c r="D633" s="12"/>
      <c r="E633" s="12"/>
      <c r="F633" s="12"/>
      <c r="G633" s="12" t="s">
        <v>2544</v>
      </c>
      <c r="H633" s="80" t="s">
        <v>3212</v>
      </c>
      <c r="I633" s="95">
        <v>96</v>
      </c>
      <c r="J633" s="105" t="s">
        <v>2597</v>
      </c>
    </row>
    <row r="634" spans="1:10" x14ac:dyDescent="0.25">
      <c r="A634" s="16" t="s">
        <v>1376</v>
      </c>
      <c r="B634" s="12" t="s">
        <v>1321</v>
      </c>
      <c r="C634" s="12" t="s">
        <v>1231</v>
      </c>
      <c r="D634" s="12"/>
      <c r="E634" s="12"/>
      <c r="F634" s="12"/>
      <c r="G634" s="12" t="s">
        <v>2545</v>
      </c>
      <c r="H634" s="80" t="s">
        <v>3213</v>
      </c>
      <c r="I634" s="95">
        <v>97</v>
      </c>
      <c r="J634" s="105" t="s">
        <v>2597</v>
      </c>
    </row>
    <row r="635" spans="1:10" x14ac:dyDescent="0.25">
      <c r="A635" s="22" t="s">
        <v>1376</v>
      </c>
      <c r="B635" s="48" t="s">
        <v>1322</v>
      </c>
      <c r="C635" s="48" t="s">
        <v>955</v>
      </c>
      <c r="D635" s="48"/>
      <c r="E635" s="48"/>
      <c r="F635" s="48"/>
      <c r="G635" s="48" t="s">
        <v>1428</v>
      </c>
      <c r="H635" s="81" t="s">
        <v>3214</v>
      </c>
      <c r="I635" s="95">
        <v>98</v>
      </c>
      <c r="J635" s="105" t="s">
        <v>2597</v>
      </c>
    </row>
    <row r="636" spans="1:10" x14ac:dyDescent="0.25">
      <c r="A636" s="16" t="s">
        <v>1376</v>
      </c>
      <c r="B636" s="12" t="s">
        <v>1323</v>
      </c>
      <c r="C636" s="12" t="s">
        <v>1218</v>
      </c>
      <c r="D636" s="12"/>
      <c r="E636" s="12"/>
      <c r="F636" s="12"/>
      <c r="G636" s="12" t="s">
        <v>2546</v>
      </c>
      <c r="H636" s="80" t="s">
        <v>3215</v>
      </c>
      <c r="I636" s="95">
        <v>99</v>
      </c>
      <c r="J636" s="105" t="s">
        <v>2597</v>
      </c>
    </row>
    <row r="637" spans="1:10" x14ac:dyDescent="0.25">
      <c r="A637" s="16" t="s">
        <v>1376</v>
      </c>
      <c r="B637" s="12" t="s">
        <v>1324</v>
      </c>
      <c r="C637" s="12" t="s">
        <v>1156</v>
      </c>
      <c r="D637" s="12"/>
      <c r="E637" s="12"/>
      <c r="F637" s="12"/>
      <c r="G637" s="12" t="s">
        <v>2547</v>
      </c>
      <c r="H637" s="80" t="s">
        <v>3216</v>
      </c>
      <c r="I637" s="95">
        <v>100</v>
      </c>
      <c r="J637" s="105" t="s">
        <v>2597</v>
      </c>
    </row>
    <row r="638" spans="1:10" x14ac:dyDescent="0.25">
      <c r="A638" s="16" t="s">
        <v>1376</v>
      </c>
      <c r="B638" s="12" t="s">
        <v>1325</v>
      </c>
      <c r="C638" s="12" t="s">
        <v>1157</v>
      </c>
      <c r="D638" s="12"/>
      <c r="E638" s="12"/>
      <c r="F638" s="12"/>
      <c r="G638" s="12" t="s">
        <v>2548</v>
      </c>
      <c r="H638" s="80" t="s">
        <v>3217</v>
      </c>
      <c r="I638" s="95">
        <v>101</v>
      </c>
      <c r="J638" s="105" t="s">
        <v>2597</v>
      </c>
    </row>
    <row r="639" spans="1:10" x14ac:dyDescent="0.25">
      <c r="A639" s="16" t="s">
        <v>1376</v>
      </c>
      <c r="B639" s="12" t="s">
        <v>1326</v>
      </c>
      <c r="C639" s="12" t="s">
        <v>1201</v>
      </c>
      <c r="D639" s="12"/>
      <c r="E639" s="12"/>
      <c r="F639" s="12"/>
      <c r="G639" s="12" t="s">
        <v>2549</v>
      </c>
      <c r="H639" s="80" t="s">
        <v>3218</v>
      </c>
      <c r="I639" s="95">
        <v>102</v>
      </c>
      <c r="J639" s="105" t="s">
        <v>2597</v>
      </c>
    </row>
    <row r="640" spans="1:10" x14ac:dyDescent="0.25">
      <c r="A640" s="16" t="s">
        <v>1376</v>
      </c>
      <c r="B640" s="12" t="s">
        <v>1327</v>
      </c>
      <c r="C640" s="12" t="s">
        <v>1158</v>
      </c>
      <c r="D640" s="12"/>
      <c r="E640" s="12"/>
      <c r="F640" s="12"/>
      <c r="G640" s="12" t="s">
        <v>2550</v>
      </c>
      <c r="H640" s="80" t="s">
        <v>3219</v>
      </c>
      <c r="I640" s="95">
        <v>103</v>
      </c>
      <c r="J640" s="105" t="s">
        <v>2597</v>
      </c>
    </row>
    <row r="641" spans="1:10" x14ac:dyDescent="0.25">
      <c r="A641" s="16" t="s">
        <v>1376</v>
      </c>
      <c r="B641" s="12" t="s">
        <v>1328</v>
      </c>
      <c r="C641" s="12" t="s">
        <v>1159</v>
      </c>
      <c r="D641" s="12"/>
      <c r="E641" s="12"/>
      <c r="F641" s="12"/>
      <c r="G641" s="12" t="s">
        <v>2551</v>
      </c>
      <c r="H641" s="80" t="s">
        <v>3220</v>
      </c>
      <c r="I641" s="95">
        <v>104</v>
      </c>
      <c r="J641" s="105" t="s">
        <v>2597</v>
      </c>
    </row>
    <row r="642" spans="1:10" x14ac:dyDescent="0.25">
      <c r="A642" s="16" t="s">
        <v>1376</v>
      </c>
      <c r="B642" s="12" t="s">
        <v>1329</v>
      </c>
      <c r="C642" s="12" t="s">
        <v>1202</v>
      </c>
      <c r="D642" s="12"/>
      <c r="E642" s="12"/>
      <c r="F642" s="12"/>
      <c r="G642" s="12" t="s">
        <v>2552</v>
      </c>
      <c r="H642" s="80" t="s">
        <v>3221</v>
      </c>
      <c r="I642" s="95">
        <v>105</v>
      </c>
      <c r="J642" s="105" t="s">
        <v>2597</v>
      </c>
    </row>
    <row r="643" spans="1:10" x14ac:dyDescent="0.25">
      <c r="A643" s="16" t="s">
        <v>1376</v>
      </c>
      <c r="B643" s="12" t="s">
        <v>1330</v>
      </c>
      <c r="C643" s="12" t="s">
        <v>1160</v>
      </c>
      <c r="D643" s="12"/>
      <c r="E643" s="12"/>
      <c r="F643" s="12"/>
      <c r="G643" s="12" t="s">
        <v>2553</v>
      </c>
      <c r="H643" s="80" t="s">
        <v>3222</v>
      </c>
      <c r="I643" s="95">
        <v>106</v>
      </c>
      <c r="J643" s="105" t="s">
        <v>2597</v>
      </c>
    </row>
    <row r="644" spans="1:10" x14ac:dyDescent="0.25">
      <c r="A644" s="16" t="s">
        <v>1376</v>
      </c>
      <c r="B644" s="12" t="s">
        <v>1331</v>
      </c>
      <c r="C644" s="12" t="s">
        <v>1161</v>
      </c>
      <c r="D644" s="12"/>
      <c r="E644" s="12"/>
      <c r="F644" s="12"/>
      <c r="G644" s="12" t="s">
        <v>2554</v>
      </c>
      <c r="H644" s="80" t="s">
        <v>3223</v>
      </c>
      <c r="I644" s="95">
        <v>107</v>
      </c>
      <c r="J644" s="105" t="s">
        <v>2597</v>
      </c>
    </row>
    <row r="645" spans="1:10" x14ac:dyDescent="0.25">
      <c r="A645" s="16" t="s">
        <v>1376</v>
      </c>
      <c r="B645" s="12" t="s">
        <v>1332</v>
      </c>
      <c r="C645" s="12" t="s">
        <v>1162</v>
      </c>
      <c r="D645" s="12"/>
      <c r="E645" s="12"/>
      <c r="F645" s="12"/>
      <c r="G645" s="12" t="s">
        <v>2555</v>
      </c>
      <c r="H645" s="80" t="s">
        <v>3224</v>
      </c>
      <c r="I645" s="95">
        <v>108</v>
      </c>
      <c r="J645" s="105" t="s">
        <v>2597</v>
      </c>
    </row>
    <row r="646" spans="1:10" x14ac:dyDescent="0.25">
      <c r="A646" s="22" t="s">
        <v>1376</v>
      </c>
      <c r="B646" s="48" t="s">
        <v>1333</v>
      </c>
      <c r="C646" s="48" t="s">
        <v>970</v>
      </c>
      <c r="D646" s="48"/>
      <c r="E646" s="48"/>
      <c r="F646" s="48"/>
      <c r="G646" s="48" t="s">
        <v>1399</v>
      </c>
      <c r="H646" s="81" t="s">
        <v>3225</v>
      </c>
      <c r="I646" s="95">
        <v>109</v>
      </c>
      <c r="J646" s="105" t="s">
        <v>2597</v>
      </c>
    </row>
    <row r="647" spans="1:10" x14ac:dyDescent="0.25">
      <c r="A647" s="16" t="s">
        <v>1376</v>
      </c>
      <c r="B647" s="12" t="s">
        <v>1334</v>
      </c>
      <c r="C647" s="12" t="s">
        <v>1221</v>
      </c>
      <c r="D647" s="12"/>
      <c r="E647" s="12"/>
      <c r="F647" s="12"/>
      <c r="G647" s="12" t="s">
        <v>2487</v>
      </c>
      <c r="H647" s="80" t="s">
        <v>3226</v>
      </c>
      <c r="I647" s="95">
        <v>110</v>
      </c>
      <c r="J647" s="105" t="s">
        <v>2597</v>
      </c>
    </row>
    <row r="648" spans="1:10" x14ac:dyDescent="0.25">
      <c r="A648" s="16" t="s">
        <v>1376</v>
      </c>
      <c r="B648" s="12" t="s">
        <v>1335</v>
      </c>
      <c r="C648" s="12" t="s">
        <v>1203</v>
      </c>
      <c r="D648" s="12"/>
      <c r="E648" s="12"/>
      <c r="F648" s="12"/>
      <c r="G648" s="12" t="s">
        <v>2488</v>
      </c>
      <c r="H648" s="80" t="s">
        <v>3227</v>
      </c>
      <c r="I648" s="95">
        <v>111</v>
      </c>
      <c r="J648" s="105" t="s">
        <v>2597</v>
      </c>
    </row>
    <row r="649" spans="1:10" x14ac:dyDescent="0.25">
      <c r="A649" s="16" t="s">
        <v>1376</v>
      </c>
      <c r="B649" s="12" t="s">
        <v>1336</v>
      </c>
      <c r="C649" s="12" t="s">
        <v>1163</v>
      </c>
      <c r="D649" s="12"/>
      <c r="E649" s="12"/>
      <c r="F649" s="12"/>
      <c r="G649" s="12" t="s">
        <v>2489</v>
      </c>
      <c r="H649" s="80" t="s">
        <v>3228</v>
      </c>
      <c r="I649" s="95">
        <v>112</v>
      </c>
      <c r="J649" s="105" t="s">
        <v>2597</v>
      </c>
    </row>
    <row r="650" spans="1:10" x14ac:dyDescent="0.25">
      <c r="A650" s="16" t="s">
        <v>1376</v>
      </c>
      <c r="B650" s="12" t="s">
        <v>1337</v>
      </c>
      <c r="C650" s="12" t="s">
        <v>1164</v>
      </c>
      <c r="D650" s="12"/>
      <c r="E650" s="12"/>
      <c r="F650" s="12"/>
      <c r="G650" s="12" t="s">
        <v>2556</v>
      </c>
      <c r="H650" s="80" t="s">
        <v>3229</v>
      </c>
      <c r="I650" s="95">
        <v>113</v>
      </c>
      <c r="J650" s="105" t="s">
        <v>2597</v>
      </c>
    </row>
    <row r="651" spans="1:10" x14ac:dyDescent="0.25">
      <c r="A651" s="16" t="s">
        <v>1376</v>
      </c>
      <c r="B651" s="12" t="s">
        <v>1338</v>
      </c>
      <c r="C651" s="12" t="s">
        <v>1204</v>
      </c>
      <c r="D651" s="12"/>
      <c r="E651" s="12"/>
      <c r="F651" s="12"/>
      <c r="G651" s="12" t="s">
        <v>2557</v>
      </c>
      <c r="H651" s="80" t="s">
        <v>3230</v>
      </c>
      <c r="I651" s="95">
        <v>114</v>
      </c>
      <c r="J651" s="105" t="s">
        <v>2597</v>
      </c>
    </row>
    <row r="652" spans="1:10" x14ac:dyDescent="0.25">
      <c r="A652" s="16" t="s">
        <v>1376</v>
      </c>
      <c r="B652" s="12" t="s">
        <v>1339</v>
      </c>
      <c r="C652" s="12" t="s">
        <v>1165</v>
      </c>
      <c r="D652" s="12"/>
      <c r="E652" s="12"/>
      <c r="F652" s="12"/>
      <c r="G652" s="12" t="s">
        <v>2558</v>
      </c>
      <c r="H652" s="80" t="s">
        <v>3231</v>
      </c>
      <c r="I652" s="95">
        <v>115</v>
      </c>
      <c r="J652" s="105" t="s">
        <v>2597</v>
      </c>
    </row>
    <row r="653" spans="1:10" x14ac:dyDescent="0.25">
      <c r="A653" s="16" t="s">
        <v>1376</v>
      </c>
      <c r="B653" s="12" t="s">
        <v>1340</v>
      </c>
      <c r="C653" s="12" t="s">
        <v>1166</v>
      </c>
      <c r="D653" s="12"/>
      <c r="E653" s="12"/>
      <c r="F653" s="12"/>
      <c r="G653" s="12" t="s">
        <v>2559</v>
      </c>
      <c r="H653" s="80" t="s">
        <v>3232</v>
      </c>
      <c r="I653" s="95">
        <v>116</v>
      </c>
      <c r="J653" s="105" t="s">
        <v>2597</v>
      </c>
    </row>
    <row r="654" spans="1:10" x14ac:dyDescent="0.25">
      <c r="A654" s="16" t="s">
        <v>1376</v>
      </c>
      <c r="B654" s="12" t="s">
        <v>1341</v>
      </c>
      <c r="C654" s="12" t="s">
        <v>1205</v>
      </c>
      <c r="D654" s="12"/>
      <c r="E654" s="12"/>
      <c r="F654" s="12"/>
      <c r="G654" s="12" t="s">
        <v>2560</v>
      </c>
      <c r="H654" s="80" t="s">
        <v>3233</v>
      </c>
      <c r="I654" s="95">
        <v>117</v>
      </c>
      <c r="J654" s="105" t="s">
        <v>2597</v>
      </c>
    </row>
    <row r="655" spans="1:10" x14ac:dyDescent="0.25">
      <c r="A655" s="16" t="s">
        <v>1376</v>
      </c>
      <c r="B655" s="12" t="s">
        <v>1342</v>
      </c>
      <c r="C655" s="12" t="s">
        <v>1167</v>
      </c>
      <c r="D655" s="12"/>
      <c r="E655" s="12"/>
      <c r="F655" s="12"/>
      <c r="G655" s="12" t="s">
        <v>2561</v>
      </c>
      <c r="H655" s="80" t="s">
        <v>3234</v>
      </c>
      <c r="I655" s="95">
        <v>118</v>
      </c>
      <c r="J655" s="105" t="s">
        <v>2597</v>
      </c>
    </row>
    <row r="656" spans="1:10" x14ac:dyDescent="0.25">
      <c r="A656" s="16" t="s">
        <v>1376</v>
      </c>
      <c r="B656" s="12" t="s">
        <v>1343</v>
      </c>
      <c r="C656" s="12" t="s">
        <v>1168</v>
      </c>
      <c r="D656" s="12"/>
      <c r="E656" s="12"/>
      <c r="F656" s="12"/>
      <c r="G656" s="12" t="s">
        <v>2562</v>
      </c>
      <c r="H656" s="80" t="s">
        <v>3235</v>
      </c>
      <c r="I656" s="95">
        <v>119</v>
      </c>
      <c r="J656" s="105" t="s">
        <v>2597</v>
      </c>
    </row>
    <row r="657" spans="1:10" x14ac:dyDescent="0.25">
      <c r="A657" s="16" t="s">
        <v>1376</v>
      </c>
      <c r="B657" s="12" t="s">
        <v>1344</v>
      </c>
      <c r="C657" s="12" t="s">
        <v>1169</v>
      </c>
      <c r="D657" s="12"/>
      <c r="E657" s="12"/>
      <c r="F657" s="12"/>
      <c r="G657" s="12" t="s">
        <v>2563</v>
      </c>
      <c r="H657" s="80" t="s">
        <v>3236</v>
      </c>
      <c r="I657" s="95">
        <v>120</v>
      </c>
      <c r="J657" s="105" t="s">
        <v>2597</v>
      </c>
    </row>
    <row r="658" spans="1:10" x14ac:dyDescent="0.25">
      <c r="A658" s="22" t="s">
        <v>1376</v>
      </c>
      <c r="B658" s="48" t="s">
        <v>1345</v>
      </c>
      <c r="C658" s="48" t="s">
        <v>990</v>
      </c>
      <c r="D658" s="48"/>
      <c r="E658" s="48"/>
      <c r="F658" s="48"/>
      <c r="G658" s="48" t="s">
        <v>2564</v>
      </c>
      <c r="H658" s="81" t="s">
        <v>3237</v>
      </c>
      <c r="I658" s="95">
        <v>121</v>
      </c>
      <c r="J658" s="105" t="s">
        <v>2597</v>
      </c>
    </row>
    <row r="659" spans="1:10" x14ac:dyDescent="0.25">
      <c r="A659" s="16" t="s">
        <v>1376</v>
      </c>
      <c r="B659" s="12" t="s">
        <v>1346</v>
      </c>
      <c r="C659" s="12" t="s">
        <v>1219</v>
      </c>
      <c r="D659" s="12"/>
      <c r="E659" s="12"/>
      <c r="F659" s="12"/>
      <c r="G659" s="12" t="s">
        <v>2565</v>
      </c>
      <c r="H659" s="80" t="s">
        <v>3238</v>
      </c>
      <c r="I659" s="95">
        <v>122</v>
      </c>
      <c r="J659" s="105" t="s">
        <v>2597</v>
      </c>
    </row>
    <row r="660" spans="1:10" x14ac:dyDescent="0.25">
      <c r="A660" s="16" t="s">
        <v>1376</v>
      </c>
      <c r="B660" s="12" t="s">
        <v>1347</v>
      </c>
      <c r="C660" s="12" t="s">
        <v>1170</v>
      </c>
      <c r="D660" s="12"/>
      <c r="E660" s="12"/>
      <c r="F660" s="12"/>
      <c r="G660" s="12" t="s">
        <v>2566</v>
      </c>
      <c r="H660" s="80" t="s">
        <v>3239</v>
      </c>
      <c r="I660" s="95">
        <v>123</v>
      </c>
      <c r="J660" s="105" t="s">
        <v>2597</v>
      </c>
    </row>
    <row r="661" spans="1:10" x14ac:dyDescent="0.25">
      <c r="A661" s="16" t="s">
        <v>1376</v>
      </c>
      <c r="B661" s="12" t="s">
        <v>1348</v>
      </c>
      <c r="C661" s="12" t="s">
        <v>1171</v>
      </c>
      <c r="D661" s="12"/>
      <c r="E661" s="12"/>
      <c r="F661" s="12"/>
      <c r="G661" s="12" t="s">
        <v>2567</v>
      </c>
      <c r="H661" s="80" t="s">
        <v>3240</v>
      </c>
      <c r="I661" s="95">
        <v>124</v>
      </c>
      <c r="J661" s="105" t="s">
        <v>2597</v>
      </c>
    </row>
    <row r="662" spans="1:10" x14ac:dyDescent="0.25">
      <c r="A662" s="16" t="s">
        <v>1376</v>
      </c>
      <c r="B662" s="12" t="s">
        <v>1349</v>
      </c>
      <c r="C662" s="12" t="s">
        <v>1172</v>
      </c>
      <c r="D662" s="12"/>
      <c r="E662" s="12"/>
      <c r="F662" s="12"/>
      <c r="G662" s="12" t="s">
        <v>2568</v>
      </c>
      <c r="H662" s="80" t="s">
        <v>3241</v>
      </c>
      <c r="I662" s="95">
        <v>125</v>
      </c>
      <c r="J662" s="105" t="s">
        <v>2597</v>
      </c>
    </row>
    <row r="663" spans="1:10" x14ac:dyDescent="0.25">
      <c r="A663" s="16" t="s">
        <v>1376</v>
      </c>
      <c r="B663" s="12" t="s">
        <v>1350</v>
      </c>
      <c r="C663" s="12" t="s">
        <v>1206</v>
      </c>
      <c r="D663" s="12"/>
      <c r="E663" s="12"/>
      <c r="F663" s="12"/>
      <c r="G663" s="12" t="s">
        <v>2569</v>
      </c>
      <c r="H663" s="80" t="s">
        <v>3242</v>
      </c>
      <c r="I663" s="95">
        <v>126</v>
      </c>
      <c r="J663" s="105" t="s">
        <v>2597</v>
      </c>
    </row>
    <row r="664" spans="1:10" x14ac:dyDescent="0.25">
      <c r="A664" s="16" t="s">
        <v>1376</v>
      </c>
      <c r="B664" s="12" t="s">
        <v>1351</v>
      </c>
      <c r="C664" s="12" t="s">
        <v>1173</v>
      </c>
      <c r="D664" s="12"/>
      <c r="E664" s="12"/>
      <c r="F664" s="12"/>
      <c r="G664" s="12" t="s">
        <v>2570</v>
      </c>
      <c r="H664" s="80" t="s">
        <v>3243</v>
      </c>
      <c r="I664" s="95">
        <v>127</v>
      </c>
      <c r="J664" s="105" t="s">
        <v>2597</v>
      </c>
    </row>
    <row r="665" spans="1:10" x14ac:dyDescent="0.25">
      <c r="A665" s="16" t="s">
        <v>1376</v>
      </c>
      <c r="B665" s="12" t="s">
        <v>1352</v>
      </c>
      <c r="C665" s="12" t="s">
        <v>1174</v>
      </c>
      <c r="D665" s="12"/>
      <c r="E665" s="12"/>
      <c r="F665" s="12"/>
      <c r="G665" s="12" t="s">
        <v>2571</v>
      </c>
      <c r="H665" s="80" t="s">
        <v>3244</v>
      </c>
      <c r="I665" s="95">
        <v>128</v>
      </c>
      <c r="J665" s="105" t="s">
        <v>2597</v>
      </c>
    </row>
    <row r="666" spans="1:10" x14ac:dyDescent="0.25">
      <c r="A666" s="16" t="s">
        <v>1376</v>
      </c>
      <c r="B666" s="12" t="s">
        <v>1353</v>
      </c>
      <c r="C666" s="12" t="s">
        <v>1207</v>
      </c>
      <c r="D666" s="12"/>
      <c r="E666" s="12"/>
      <c r="F666" s="12"/>
      <c r="G666" s="12" t="s">
        <v>2572</v>
      </c>
      <c r="H666" s="80" t="s">
        <v>3245</v>
      </c>
      <c r="I666" s="95">
        <v>129</v>
      </c>
      <c r="J666" s="105" t="s">
        <v>2597</v>
      </c>
    </row>
    <row r="667" spans="1:10" x14ac:dyDescent="0.25">
      <c r="A667" s="16" t="s">
        <v>1376</v>
      </c>
      <c r="B667" s="12" t="s">
        <v>1354</v>
      </c>
      <c r="C667" s="12" t="s">
        <v>1175</v>
      </c>
      <c r="D667" s="12"/>
      <c r="E667" s="12"/>
      <c r="F667" s="12"/>
      <c r="G667" s="12" t="s">
        <v>2573</v>
      </c>
      <c r="H667" s="80" t="s">
        <v>3246</v>
      </c>
      <c r="I667" s="95">
        <v>130</v>
      </c>
      <c r="J667" s="105" t="s">
        <v>2597</v>
      </c>
    </row>
    <row r="668" spans="1:10" x14ac:dyDescent="0.25">
      <c r="A668" s="16" t="s">
        <v>1376</v>
      </c>
      <c r="B668" s="12" t="s">
        <v>1355</v>
      </c>
      <c r="C668" s="12" t="s">
        <v>1176</v>
      </c>
      <c r="D668" s="12"/>
      <c r="E668" s="12"/>
      <c r="F668" s="12"/>
      <c r="G668" s="12" t="s">
        <v>2574</v>
      </c>
      <c r="H668" s="80" t="s">
        <v>3247</v>
      </c>
      <c r="I668" s="95">
        <v>131</v>
      </c>
      <c r="J668" s="105" t="s">
        <v>2597</v>
      </c>
    </row>
    <row r="669" spans="1:10" x14ac:dyDescent="0.25">
      <c r="A669" s="16" t="s">
        <v>1376</v>
      </c>
      <c r="B669" s="12" t="s">
        <v>1356</v>
      </c>
      <c r="C669" s="12" t="s">
        <v>1177</v>
      </c>
      <c r="D669" s="12"/>
      <c r="E669" s="12"/>
      <c r="F669" s="12"/>
      <c r="G669" s="12" t="s">
        <v>2575</v>
      </c>
      <c r="H669" s="80" t="s">
        <v>3248</v>
      </c>
      <c r="I669" s="95">
        <v>132</v>
      </c>
      <c r="J669" s="105" t="s">
        <v>2597</v>
      </c>
    </row>
    <row r="670" spans="1:10" x14ac:dyDescent="0.25">
      <c r="A670" s="22" t="s">
        <v>1376</v>
      </c>
      <c r="B670" s="48" t="s">
        <v>1357</v>
      </c>
      <c r="C670" s="48" t="s">
        <v>1006</v>
      </c>
      <c r="D670" s="48"/>
      <c r="E670" s="48"/>
      <c r="F670" s="48"/>
      <c r="G670" s="48" t="s">
        <v>2576</v>
      </c>
      <c r="H670" s="81" t="s">
        <v>3249</v>
      </c>
      <c r="I670" s="95">
        <v>133</v>
      </c>
      <c r="J670" s="105" t="s">
        <v>2597</v>
      </c>
    </row>
    <row r="671" spans="1:10" x14ac:dyDescent="0.25">
      <c r="A671" s="16" t="s">
        <v>1376</v>
      </c>
      <c r="B671" s="12" t="s">
        <v>1358</v>
      </c>
      <c r="C671" s="12" t="s">
        <v>1220</v>
      </c>
      <c r="D671" s="12"/>
      <c r="E671" s="12"/>
      <c r="F671" s="12"/>
      <c r="G671" s="12" t="s">
        <v>2577</v>
      </c>
      <c r="H671" s="80" t="s">
        <v>3250</v>
      </c>
      <c r="I671" s="95">
        <v>134</v>
      </c>
      <c r="J671" s="105" t="s">
        <v>2597</v>
      </c>
    </row>
    <row r="672" spans="1:10" x14ac:dyDescent="0.25">
      <c r="A672" s="16" t="s">
        <v>1376</v>
      </c>
      <c r="B672" s="12" t="s">
        <v>1359</v>
      </c>
      <c r="C672" s="12" t="s">
        <v>1178</v>
      </c>
      <c r="D672" s="12"/>
      <c r="E672" s="12"/>
      <c r="F672" s="12"/>
      <c r="G672" s="12" t="s">
        <v>2578</v>
      </c>
      <c r="H672" s="80" t="s">
        <v>3251</v>
      </c>
      <c r="I672" s="95">
        <v>135</v>
      </c>
      <c r="J672" s="105" t="s">
        <v>2597</v>
      </c>
    </row>
    <row r="673" spans="1:10" x14ac:dyDescent="0.25">
      <c r="A673" s="16" t="s">
        <v>1376</v>
      </c>
      <c r="B673" s="12" t="s">
        <v>1360</v>
      </c>
      <c r="C673" s="12" t="s">
        <v>1179</v>
      </c>
      <c r="D673" s="12"/>
      <c r="E673" s="12"/>
      <c r="F673" s="12"/>
      <c r="G673" s="12" t="s">
        <v>2579</v>
      </c>
      <c r="H673" s="80" t="s">
        <v>3252</v>
      </c>
      <c r="I673" s="95">
        <v>136</v>
      </c>
      <c r="J673" s="105" t="s">
        <v>2597</v>
      </c>
    </row>
    <row r="674" spans="1:10" x14ac:dyDescent="0.25">
      <c r="A674" s="16" t="s">
        <v>1376</v>
      </c>
      <c r="B674" s="12" t="s">
        <v>1361</v>
      </c>
      <c r="C674" s="12" t="s">
        <v>1180</v>
      </c>
      <c r="D674" s="12"/>
      <c r="E674" s="12"/>
      <c r="F674" s="12"/>
      <c r="G674" s="12" t="s">
        <v>2580</v>
      </c>
      <c r="H674" s="80" t="s">
        <v>3253</v>
      </c>
      <c r="I674" s="95">
        <v>137</v>
      </c>
      <c r="J674" s="105" t="s">
        <v>2597</v>
      </c>
    </row>
    <row r="675" spans="1:10" x14ac:dyDescent="0.25">
      <c r="A675" s="16" t="s">
        <v>1376</v>
      </c>
      <c r="B675" s="12" t="s">
        <v>1362</v>
      </c>
      <c r="C675" s="12" t="s">
        <v>1208</v>
      </c>
      <c r="D675" s="12"/>
      <c r="E675" s="12"/>
      <c r="F675" s="12"/>
      <c r="G675" s="12" t="s">
        <v>2581</v>
      </c>
      <c r="H675" s="80" t="s">
        <v>3254</v>
      </c>
      <c r="I675" s="95">
        <v>138</v>
      </c>
      <c r="J675" s="105" t="s">
        <v>2597</v>
      </c>
    </row>
    <row r="676" spans="1:10" x14ac:dyDescent="0.25">
      <c r="A676" s="16" t="s">
        <v>1376</v>
      </c>
      <c r="B676" s="12" t="s">
        <v>1363</v>
      </c>
      <c r="C676" s="12" t="s">
        <v>1181</v>
      </c>
      <c r="D676" s="12"/>
      <c r="E676" s="12"/>
      <c r="F676" s="12"/>
      <c r="G676" s="12" t="s">
        <v>2582</v>
      </c>
      <c r="H676" s="80" t="s">
        <v>3255</v>
      </c>
      <c r="I676" s="95">
        <v>139</v>
      </c>
      <c r="J676" s="105" t="s">
        <v>2597</v>
      </c>
    </row>
    <row r="677" spans="1:10" x14ac:dyDescent="0.25">
      <c r="A677" s="16" t="s">
        <v>1376</v>
      </c>
      <c r="B677" s="12" t="s">
        <v>1364</v>
      </c>
      <c r="C677" s="12" t="s">
        <v>1182</v>
      </c>
      <c r="D677" s="12"/>
      <c r="E677" s="12"/>
      <c r="F677" s="12"/>
      <c r="G677" s="12" t="s">
        <v>2583</v>
      </c>
      <c r="H677" s="80" t="s">
        <v>3256</v>
      </c>
      <c r="I677" s="95">
        <v>140</v>
      </c>
      <c r="J677" s="105" t="s">
        <v>2597</v>
      </c>
    </row>
    <row r="678" spans="1:10" x14ac:dyDescent="0.25">
      <c r="A678" s="16" t="s">
        <v>1376</v>
      </c>
      <c r="B678" s="12" t="s">
        <v>1365</v>
      </c>
      <c r="C678" s="12" t="s">
        <v>1183</v>
      </c>
      <c r="D678" s="12"/>
      <c r="E678" s="12"/>
      <c r="F678" s="12"/>
      <c r="G678" s="12" t="s">
        <v>2584</v>
      </c>
      <c r="H678" s="80" t="s">
        <v>3257</v>
      </c>
      <c r="I678" s="95">
        <v>141</v>
      </c>
      <c r="J678" s="105" t="s">
        <v>2597</v>
      </c>
    </row>
    <row r="679" spans="1:10" x14ac:dyDescent="0.25">
      <c r="A679" s="16" t="s">
        <v>1376</v>
      </c>
      <c r="B679" s="12" t="s">
        <v>1366</v>
      </c>
      <c r="C679" s="12" t="s">
        <v>1209</v>
      </c>
      <c r="D679" s="12"/>
      <c r="E679" s="12"/>
      <c r="F679" s="12"/>
      <c r="G679" s="12" t="s">
        <v>2585</v>
      </c>
      <c r="H679" s="80" t="s">
        <v>3258</v>
      </c>
      <c r="I679" s="95">
        <v>142</v>
      </c>
      <c r="J679" s="105" t="s">
        <v>2597</v>
      </c>
    </row>
    <row r="680" spans="1:10" x14ac:dyDescent="0.25">
      <c r="A680" s="16" t="s">
        <v>1376</v>
      </c>
      <c r="B680" s="12" t="s">
        <v>1367</v>
      </c>
      <c r="C680" s="12" t="s">
        <v>1184</v>
      </c>
      <c r="D680" s="12"/>
      <c r="E680" s="12"/>
      <c r="F680" s="12"/>
      <c r="G680" s="12" t="s">
        <v>2586</v>
      </c>
      <c r="H680" s="80" t="s">
        <v>3259</v>
      </c>
      <c r="I680" s="95">
        <v>143</v>
      </c>
      <c r="J680" s="105" t="s">
        <v>2597</v>
      </c>
    </row>
    <row r="681" spans="1:10" x14ac:dyDescent="0.25">
      <c r="A681" s="16" t="s">
        <v>1376</v>
      </c>
      <c r="B681" s="12" t="s">
        <v>1368</v>
      </c>
      <c r="C681" s="12" t="s">
        <v>1185</v>
      </c>
      <c r="D681" s="12"/>
      <c r="E681" s="12"/>
      <c r="F681" s="12"/>
      <c r="G681" s="12" t="s">
        <v>2587</v>
      </c>
      <c r="H681" s="80" t="s">
        <v>3260</v>
      </c>
      <c r="I681" s="95">
        <v>144</v>
      </c>
      <c r="J681" s="105" t="s">
        <v>2597</v>
      </c>
    </row>
    <row r="682" spans="1:10" x14ac:dyDescent="0.25">
      <c r="A682" s="16" t="s">
        <v>1376</v>
      </c>
      <c r="B682" s="12" t="s">
        <v>1369</v>
      </c>
      <c r="C682" s="12" t="s">
        <v>1210</v>
      </c>
      <c r="D682" s="12"/>
      <c r="E682" s="12"/>
      <c r="F682" s="12"/>
      <c r="G682" s="12" t="s">
        <v>2588</v>
      </c>
      <c r="H682" s="80" t="s">
        <v>3261</v>
      </c>
      <c r="I682" s="95">
        <v>145</v>
      </c>
      <c r="J682" s="105" t="s">
        <v>2597</v>
      </c>
    </row>
    <row r="683" spans="1:10" x14ac:dyDescent="0.25">
      <c r="A683" s="16" t="s">
        <v>1376</v>
      </c>
      <c r="B683" s="12" t="s">
        <v>1370</v>
      </c>
      <c r="C683" s="12" t="s">
        <v>1186</v>
      </c>
      <c r="D683" s="12"/>
      <c r="E683" s="12"/>
      <c r="F683" s="12"/>
      <c r="G683" s="12" t="s">
        <v>2557</v>
      </c>
      <c r="H683" s="80" t="s">
        <v>3262</v>
      </c>
      <c r="I683" s="95">
        <v>146</v>
      </c>
      <c r="J683" s="105" t="s">
        <v>2597</v>
      </c>
    </row>
    <row r="684" spans="1:10" x14ac:dyDescent="0.25">
      <c r="A684" s="16" t="s">
        <v>1376</v>
      </c>
      <c r="B684" s="12" t="s">
        <v>1371</v>
      </c>
      <c r="C684" s="12" t="s">
        <v>1187</v>
      </c>
      <c r="D684" s="12"/>
      <c r="E684" s="12"/>
      <c r="F684" s="12"/>
      <c r="G684" s="12" t="s">
        <v>2589</v>
      </c>
      <c r="H684" s="80" t="s">
        <v>3263</v>
      </c>
      <c r="I684" s="95">
        <v>147</v>
      </c>
      <c r="J684" s="105" t="s">
        <v>2597</v>
      </c>
    </row>
    <row r="685" spans="1:10" x14ac:dyDescent="0.25">
      <c r="A685" s="22" t="s">
        <v>1376</v>
      </c>
      <c r="B685" s="48" t="s">
        <v>1372</v>
      </c>
      <c r="C685" s="48" t="s">
        <v>1222</v>
      </c>
      <c r="D685" s="48"/>
      <c r="E685" s="48"/>
      <c r="F685" s="48"/>
      <c r="G685" s="48" t="s">
        <v>2305</v>
      </c>
      <c r="H685" s="81" t="s">
        <v>3264</v>
      </c>
      <c r="I685" s="95">
        <v>148</v>
      </c>
      <c r="J685" s="105" t="s">
        <v>2597</v>
      </c>
    </row>
    <row r="686" spans="1:10" x14ac:dyDescent="0.25">
      <c r="A686" s="16" t="s">
        <v>1376</v>
      </c>
      <c r="B686" s="12" t="s">
        <v>1373</v>
      </c>
      <c r="C686" s="12" t="s">
        <v>1223</v>
      </c>
      <c r="D686" s="12"/>
      <c r="E686" s="12"/>
      <c r="F686" s="12"/>
      <c r="G686" s="12" t="s">
        <v>2305</v>
      </c>
      <c r="H686" s="80" t="s">
        <v>3265</v>
      </c>
      <c r="I686" s="95">
        <v>149</v>
      </c>
      <c r="J686" s="105" t="s">
        <v>2597</v>
      </c>
    </row>
    <row r="687" spans="1:10" x14ac:dyDescent="0.25">
      <c r="A687" s="16" t="s">
        <v>1376</v>
      </c>
      <c r="B687" s="12" t="s">
        <v>1374</v>
      </c>
      <c r="C687" s="12" t="s">
        <v>1224</v>
      </c>
      <c r="D687" s="12"/>
      <c r="E687" s="12"/>
      <c r="F687" s="12"/>
      <c r="G687" s="12" t="s">
        <v>2305</v>
      </c>
      <c r="H687" s="80" t="s">
        <v>3266</v>
      </c>
      <c r="I687" s="95">
        <v>150</v>
      </c>
      <c r="J687" s="105" t="s">
        <v>2597</v>
      </c>
    </row>
    <row r="688" spans="1:10" x14ac:dyDescent="0.25">
      <c r="A688" s="16" t="s">
        <v>1376</v>
      </c>
      <c r="B688" s="12" t="s">
        <v>1375</v>
      </c>
      <c r="C688" s="12" t="s">
        <v>1225</v>
      </c>
      <c r="D688" s="12"/>
      <c r="E688" s="12"/>
      <c r="F688" s="12"/>
      <c r="G688" s="12" t="s">
        <v>2305</v>
      </c>
      <c r="H688" s="80" t="s">
        <v>3267</v>
      </c>
      <c r="I688" s="95">
        <v>151</v>
      </c>
      <c r="J688" s="105" t="s">
        <v>2597</v>
      </c>
    </row>
    <row r="689" spans="1:10" x14ac:dyDescent="0.25">
      <c r="A689" s="16" t="s">
        <v>1376</v>
      </c>
      <c r="B689" s="2">
        <v>-999</v>
      </c>
      <c r="C689" s="2" t="s">
        <v>414</v>
      </c>
      <c r="D689" s="12"/>
      <c r="E689" s="2"/>
      <c r="F689" s="2"/>
      <c r="G689" s="2" t="s">
        <v>2306</v>
      </c>
      <c r="H689" s="80" t="s">
        <v>3268</v>
      </c>
      <c r="I689" s="95">
        <v>152</v>
      </c>
      <c r="J689" s="105" t="s">
        <v>2597</v>
      </c>
    </row>
    <row r="690" spans="1:10" ht="15.75" thickBot="1" x14ac:dyDescent="0.3">
      <c r="A690" s="17" t="s">
        <v>1376</v>
      </c>
      <c r="B690" s="27">
        <v>-888</v>
      </c>
      <c r="C690" s="27" t="s">
        <v>802</v>
      </c>
      <c r="D690" s="38"/>
      <c r="E690" s="27"/>
      <c r="F690" s="27"/>
      <c r="G690" s="27" t="s">
        <v>2306</v>
      </c>
      <c r="H690" s="82" t="s">
        <v>3269</v>
      </c>
      <c r="I690" s="97">
        <v>153</v>
      </c>
      <c r="J690" s="106" t="s">
        <v>2597</v>
      </c>
    </row>
  </sheetData>
  <sortState ref="A247:I334">
    <sortCondition ref="B247:B334"/>
  </sortState>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2"/>
  <dimension ref="A1:H98"/>
  <sheetViews>
    <sheetView tabSelected="1" topLeftCell="A13" zoomScale="110" zoomScaleNormal="110" workbookViewId="0">
      <selection activeCell="B29" sqref="B29"/>
    </sheetView>
  </sheetViews>
  <sheetFormatPr defaultRowHeight="15" x14ac:dyDescent="0.25"/>
  <cols>
    <col min="1" max="1" width="27.28515625" bestFit="1" customWidth="1"/>
    <col min="2" max="2" width="30.5703125" bestFit="1" customWidth="1"/>
    <col min="3" max="3" width="9.7109375" bestFit="1" customWidth="1"/>
    <col min="4" max="4" width="40.7109375" bestFit="1" customWidth="1"/>
    <col min="5" max="5" width="38.42578125" bestFit="1" customWidth="1"/>
  </cols>
  <sheetData>
    <row r="1" spans="1:6" x14ac:dyDescent="0.25">
      <c r="A1" t="s">
        <v>495</v>
      </c>
      <c r="B1" t="s">
        <v>416</v>
      </c>
      <c r="C1" t="str">
        <f>Index!G1</f>
        <v>f_colour</v>
      </c>
      <c r="D1" t="s">
        <v>421</v>
      </c>
      <c r="E1" t="s">
        <v>1401</v>
      </c>
    </row>
    <row r="2" spans="1:6" x14ac:dyDescent="0.25">
      <c r="A2" t="s">
        <v>494</v>
      </c>
      <c r="B2" t="str">
        <f t="shared" ref="B2" si="0">A2</f>
        <v>DTM</v>
      </c>
      <c r="C2" s="84" t="s">
        <v>488</v>
      </c>
      <c r="D2" t="s">
        <v>1455</v>
      </c>
      <c r="E2" t="str">
        <f>D2&amp;","</f>
        <v>DTM= "#000000",</v>
      </c>
    </row>
    <row r="3" spans="1:6" x14ac:dyDescent="0.25">
      <c r="A3" t="s">
        <v>1402</v>
      </c>
      <c r="B3" t="str">
        <f>A3</f>
        <v>Kurkar_Base_A</v>
      </c>
      <c r="C3" s="61" t="s">
        <v>1437</v>
      </c>
      <c r="D3" s="28" t="s">
        <v>1438</v>
      </c>
      <c r="E3" s="28" t="str">
        <f t="shared" ref="E3:E27" si="1">D3&amp;","</f>
        <v>Kurkar_Base_A = "#F6CE78",</v>
      </c>
    </row>
    <row r="4" spans="1:6" x14ac:dyDescent="0.25">
      <c r="A4" t="s">
        <v>1403</v>
      </c>
      <c r="B4" s="28" t="str">
        <f t="shared" ref="B4:B27" si="2">A4</f>
        <v>Kurkar_Base_B</v>
      </c>
      <c r="C4" s="62" t="s">
        <v>1436</v>
      </c>
      <c r="D4" s="28" t="s">
        <v>1439</v>
      </c>
      <c r="E4" s="28" t="str">
        <f t="shared" si="1"/>
        <v>Kurkar_Base_B = "#C9B86A",</v>
      </c>
    </row>
    <row r="5" spans="1:6" x14ac:dyDescent="0.25">
      <c r="A5" t="s">
        <v>1404</v>
      </c>
      <c r="B5" s="28" t="str">
        <f t="shared" si="2"/>
        <v>Kurkar_Base_C</v>
      </c>
      <c r="C5" s="50" t="s">
        <v>1399</v>
      </c>
      <c r="D5" s="28" t="s">
        <v>1440</v>
      </c>
      <c r="E5" s="28" t="str">
        <f t="shared" si="1"/>
        <v>Kurkar_Base_C = "#FF8000",</v>
      </c>
    </row>
    <row r="6" spans="1:6" x14ac:dyDescent="0.25">
      <c r="A6" t="s">
        <v>1405</v>
      </c>
      <c r="B6" s="28" t="str">
        <f t="shared" si="2"/>
        <v>Kurkar_top_B</v>
      </c>
      <c r="C6" s="62" t="s">
        <v>1436</v>
      </c>
      <c r="D6" s="28" t="s">
        <v>1441</v>
      </c>
      <c r="E6" s="28" t="str">
        <f t="shared" si="1"/>
        <v>Kurkar_top_B = "#C9B86A",</v>
      </c>
    </row>
    <row r="7" spans="1:6" x14ac:dyDescent="0.25">
      <c r="A7" t="s">
        <v>1406</v>
      </c>
      <c r="B7" s="28" t="str">
        <f t="shared" si="2"/>
        <v>Kurkar_top_C</v>
      </c>
      <c r="C7" s="50" t="s">
        <v>1399</v>
      </c>
      <c r="D7" s="28" t="s">
        <v>1442</v>
      </c>
      <c r="E7" s="28" t="str">
        <f t="shared" si="1"/>
        <v>Kurkar_top_C = "#FF8000",</v>
      </c>
    </row>
    <row r="8" spans="1:6" x14ac:dyDescent="0.25">
      <c r="A8" t="s">
        <v>1407</v>
      </c>
      <c r="B8" s="28" t="str">
        <f t="shared" si="2"/>
        <v>Kurkar_top_D</v>
      </c>
      <c r="C8" s="64" t="s">
        <v>1435</v>
      </c>
      <c r="D8" s="28" t="s">
        <v>1443</v>
      </c>
      <c r="E8" s="28" t="str">
        <f t="shared" si="1"/>
        <v>Kurkar_top_D = "#B43130",</v>
      </c>
    </row>
    <row r="9" spans="1:6" x14ac:dyDescent="0.25">
      <c r="A9" t="s">
        <v>1408</v>
      </c>
      <c r="B9" s="28" t="str">
        <f t="shared" si="2"/>
        <v>Saqia_Base</v>
      </c>
      <c r="C9" s="64" t="s">
        <v>1435</v>
      </c>
      <c r="D9" s="28" t="s">
        <v>1444</v>
      </c>
      <c r="E9" s="28" t="str">
        <f t="shared" si="1"/>
        <v>Saqia_Base = "#B43130",</v>
      </c>
      <c r="F9" s="28"/>
    </row>
    <row r="10" spans="1:6" s="28" customFormat="1" x14ac:dyDescent="0.25">
      <c r="A10" s="28" t="s">
        <v>1409</v>
      </c>
      <c r="B10" s="28" t="str">
        <f t="shared" si="2"/>
        <v>Bina_Top</v>
      </c>
      <c r="C10" s="63" t="s">
        <v>1460</v>
      </c>
      <c r="D10" s="28" t="s">
        <v>1462</v>
      </c>
      <c r="E10" s="28" t="str">
        <f t="shared" si="1"/>
        <v>Bina_Top = "#3DE00A",</v>
      </c>
    </row>
    <row r="11" spans="1:6" x14ac:dyDescent="0.25">
      <c r="A11" t="s">
        <v>1410</v>
      </c>
      <c r="B11" s="28" t="str">
        <f t="shared" si="2"/>
        <v>Taqia_Top</v>
      </c>
      <c r="C11" s="64" t="s">
        <v>1435</v>
      </c>
      <c r="D11" s="28" t="s">
        <v>1445</v>
      </c>
      <c r="E11" s="28" t="str">
        <f t="shared" si="1"/>
        <v>Taqia_Top = "#B43130",</v>
      </c>
    </row>
    <row r="12" spans="1:6" x14ac:dyDescent="0.25">
      <c r="A12" t="s">
        <v>1411</v>
      </c>
      <c r="B12" s="28" t="str">
        <f t="shared" si="2"/>
        <v>Arad_Top</v>
      </c>
      <c r="C12" s="51" t="s">
        <v>1427</v>
      </c>
      <c r="D12" s="28" t="s">
        <v>1446</v>
      </c>
      <c r="E12" s="28" t="str">
        <f t="shared" si="1"/>
        <v>Arad_Top = "#3C7DC4",</v>
      </c>
    </row>
    <row r="13" spans="1:6" x14ac:dyDescent="0.25">
      <c r="A13" t="s">
        <v>1412</v>
      </c>
      <c r="B13" s="28" t="str">
        <f t="shared" si="2"/>
        <v>Arava_Judea_Top</v>
      </c>
      <c r="C13" s="63" t="s">
        <v>1460</v>
      </c>
      <c r="D13" s="28" t="s">
        <v>1463</v>
      </c>
      <c r="E13" s="28" t="str">
        <f t="shared" si="1"/>
        <v>Arava_Judea_Top = "#3DE00A",</v>
      </c>
    </row>
    <row r="14" spans="1:6" s="28" customFormat="1" x14ac:dyDescent="0.25">
      <c r="A14" s="28" t="s">
        <v>1464</v>
      </c>
      <c r="B14" s="28" t="str">
        <f t="shared" ref="B14" si="3">A14</f>
        <v>Arava_Judea_Base</v>
      </c>
      <c r="C14" s="85" t="s">
        <v>1465</v>
      </c>
      <c r="D14" s="28" t="s">
        <v>1466</v>
      </c>
      <c r="E14" s="28" t="str">
        <f t="shared" ref="E14" si="4">D14&amp;","</f>
        <v>Arava_Judea_Base = "#299C05",</v>
      </c>
    </row>
    <row r="15" spans="1:6" x14ac:dyDescent="0.25">
      <c r="A15" t="s">
        <v>1413</v>
      </c>
      <c r="B15" s="28" t="str">
        <f t="shared" si="2"/>
        <v>Dargot_Top</v>
      </c>
      <c r="C15" s="56" t="s">
        <v>1434</v>
      </c>
      <c r="D15" s="28" t="s">
        <v>1447</v>
      </c>
      <c r="E15" s="28" t="str">
        <f t="shared" si="1"/>
        <v>Dargot_Top = "#B97A47",</v>
      </c>
    </row>
    <row r="16" spans="1:6" x14ac:dyDescent="0.25">
      <c r="A16" t="s">
        <v>1414</v>
      </c>
      <c r="B16" s="28" t="str">
        <f t="shared" si="2"/>
        <v>LC3_Top</v>
      </c>
      <c r="C16" s="58" t="s">
        <v>1433</v>
      </c>
      <c r="D16" s="28" t="s">
        <v>1448</v>
      </c>
      <c r="E16" s="28" t="str">
        <f t="shared" si="1"/>
        <v>LC3_Top = "#A57A5B",</v>
      </c>
    </row>
    <row r="17" spans="1:5" x14ac:dyDescent="0.25">
      <c r="A17" t="s">
        <v>1415</v>
      </c>
      <c r="B17" s="28" t="str">
        <f t="shared" si="2"/>
        <v>Malhata_Top</v>
      </c>
      <c r="C17" s="55" t="s">
        <v>1432</v>
      </c>
      <c r="D17" s="28" t="s">
        <v>1449</v>
      </c>
      <c r="E17" s="28" t="str">
        <f t="shared" si="1"/>
        <v>Malhata_Top = "#D79829",</v>
      </c>
    </row>
    <row r="18" spans="1:5" x14ac:dyDescent="0.25">
      <c r="A18" t="s">
        <v>1416</v>
      </c>
      <c r="B18" s="28" t="str">
        <f t="shared" si="2"/>
        <v>Uza_Top</v>
      </c>
      <c r="C18" s="54" t="s">
        <v>1431</v>
      </c>
      <c r="D18" s="28" t="s">
        <v>1450</v>
      </c>
      <c r="E18" s="28" t="str">
        <f t="shared" si="1"/>
        <v>Uza_Top = "#F5B6B0",</v>
      </c>
    </row>
    <row r="19" spans="1:5" x14ac:dyDescent="0.25">
      <c r="A19" t="s">
        <v>1417</v>
      </c>
      <c r="B19" s="28" t="str">
        <f t="shared" si="2"/>
        <v>Zeweria-L_Top</v>
      </c>
      <c r="C19" s="57" t="s">
        <v>1430</v>
      </c>
      <c r="D19" s="28" t="s">
        <v>1456</v>
      </c>
      <c r="E19" s="28" t="str">
        <f t="shared" si="1"/>
        <v>Zeweria_L_Top = "#AF8451",</v>
      </c>
    </row>
    <row r="20" spans="1:5" x14ac:dyDescent="0.25">
      <c r="A20" t="s">
        <v>1418</v>
      </c>
      <c r="B20" s="28" t="str">
        <f t="shared" si="2"/>
        <v>Zeweria-U_Top</v>
      </c>
      <c r="C20" s="59" t="s">
        <v>1429</v>
      </c>
      <c r="D20" s="28" t="s">
        <v>1457</v>
      </c>
      <c r="E20" s="28" t="str">
        <f t="shared" si="1"/>
        <v>Zeweria_U_Top = "#9B8465",</v>
      </c>
    </row>
    <row r="21" spans="1:5" x14ac:dyDescent="0.25">
      <c r="A21" t="s">
        <v>1419</v>
      </c>
      <c r="B21" s="28" t="str">
        <f t="shared" si="2"/>
        <v>Moza_Top</v>
      </c>
      <c r="C21" s="52" t="s">
        <v>1428</v>
      </c>
      <c r="D21" s="28" t="s">
        <v>1451</v>
      </c>
      <c r="E21" s="28" t="str">
        <f t="shared" si="1"/>
        <v>Moza_Top = "#FF0400",</v>
      </c>
    </row>
    <row r="22" spans="1:5" x14ac:dyDescent="0.25">
      <c r="A22" s="28" t="s">
        <v>1420</v>
      </c>
      <c r="B22" s="28" t="str">
        <f t="shared" si="2"/>
        <v>Moza-local1_Top</v>
      </c>
      <c r="C22" s="52" t="s">
        <v>1428</v>
      </c>
      <c r="D22" s="28" t="s">
        <v>1458</v>
      </c>
      <c r="E22" s="28" t="str">
        <f t="shared" si="1"/>
        <v>Moza_local1_Top = "#FF0400",</v>
      </c>
    </row>
    <row r="23" spans="1:5" x14ac:dyDescent="0.25">
      <c r="A23" s="28" t="s">
        <v>1421</v>
      </c>
      <c r="B23" s="28" t="str">
        <f t="shared" si="2"/>
        <v>Moza-local2_Top</v>
      </c>
      <c r="C23" s="52" t="s">
        <v>1428</v>
      </c>
      <c r="D23" s="28" t="s">
        <v>1459</v>
      </c>
      <c r="E23" s="28" t="str">
        <f t="shared" si="1"/>
        <v>Moza_local2_Top = "#FF0400",</v>
      </c>
    </row>
    <row r="24" spans="1:5" x14ac:dyDescent="0.25">
      <c r="A24" s="28" t="s">
        <v>1422</v>
      </c>
      <c r="B24" s="28" t="str">
        <f t="shared" si="2"/>
        <v>Yagur_Top</v>
      </c>
      <c r="C24" s="53" t="s">
        <v>1569</v>
      </c>
      <c r="D24" s="28" t="s">
        <v>1452</v>
      </c>
      <c r="E24" s="28" t="str">
        <f t="shared" si="1"/>
        <v>Yagur_Top = "#0B0500",</v>
      </c>
    </row>
    <row r="25" spans="1:5" x14ac:dyDescent="0.25">
      <c r="A25" s="28" t="s">
        <v>1423</v>
      </c>
      <c r="B25" s="28" t="str">
        <f t="shared" si="2"/>
        <v>Yakeni_Top</v>
      </c>
      <c r="C25" s="90" t="s">
        <v>1570</v>
      </c>
      <c r="D25" s="28" t="s">
        <v>1453</v>
      </c>
      <c r="E25" s="28" t="str">
        <f t="shared" si="1"/>
        <v>Yakeni_Top = "#C864A0",</v>
      </c>
    </row>
    <row r="26" spans="1:5" x14ac:dyDescent="0.25">
      <c r="A26" s="28" t="s">
        <v>1424</v>
      </c>
      <c r="B26" s="28" t="str">
        <f t="shared" si="2"/>
        <v>Judea_top</v>
      </c>
      <c r="C26" s="63" t="s">
        <v>1460</v>
      </c>
      <c r="D26" s="28" t="s">
        <v>1461</v>
      </c>
      <c r="E26" s="28" t="str">
        <f t="shared" si="1"/>
        <v>Judea_top = "#3DE00A",</v>
      </c>
    </row>
    <row r="27" spans="1:5" x14ac:dyDescent="0.25">
      <c r="A27" s="28" t="s">
        <v>1425</v>
      </c>
      <c r="B27" s="28" t="str">
        <f t="shared" si="2"/>
        <v>Saltwater_Aquifer_Top</v>
      </c>
      <c r="C27" s="60" t="s">
        <v>1426</v>
      </c>
      <c r="D27" s="28" t="s">
        <v>1454</v>
      </c>
      <c r="E27" s="28" t="str">
        <f t="shared" si="1"/>
        <v>Saltwater_Aquifer_Top = "#E11E5E",</v>
      </c>
    </row>
    <row r="28" spans="1:5" x14ac:dyDescent="0.25">
      <c r="A28" s="86" t="s">
        <v>1467</v>
      </c>
      <c r="B28" s="86" t="s">
        <v>1467</v>
      </c>
      <c r="C28" s="59" t="s">
        <v>1429</v>
      </c>
      <c r="D28" s="28" t="s">
        <v>1536</v>
      </c>
      <c r="E28" t="s">
        <v>1502</v>
      </c>
    </row>
    <row r="29" spans="1:5" x14ac:dyDescent="0.25">
      <c r="A29" s="12" t="s">
        <v>1468</v>
      </c>
      <c r="B29" s="12" t="s">
        <v>1468</v>
      </c>
      <c r="C29" s="61" t="s">
        <v>1437</v>
      </c>
      <c r="D29" s="28" t="s">
        <v>1537</v>
      </c>
      <c r="E29" t="s">
        <v>1503</v>
      </c>
    </row>
    <row r="30" spans="1:5" x14ac:dyDescent="0.25">
      <c r="A30" s="12" t="s">
        <v>1409</v>
      </c>
      <c r="B30" s="12" t="s">
        <v>1409</v>
      </c>
      <c r="C30" s="63" t="s">
        <v>1460</v>
      </c>
      <c r="D30" s="28" t="s">
        <v>1462</v>
      </c>
      <c r="E30" t="s">
        <v>1504</v>
      </c>
    </row>
    <row r="31" spans="1:5" x14ac:dyDescent="0.25">
      <c r="A31" s="12" t="s">
        <v>1469</v>
      </c>
      <c r="B31" s="12" t="s">
        <v>1469</v>
      </c>
      <c r="C31" s="54" t="s">
        <v>1431</v>
      </c>
      <c r="D31" s="28" t="s">
        <v>1538</v>
      </c>
      <c r="E31" t="s">
        <v>1505</v>
      </c>
    </row>
    <row r="32" spans="1:5" x14ac:dyDescent="0.25">
      <c r="A32" s="12" t="s">
        <v>1470</v>
      </c>
      <c r="B32" s="12" t="s">
        <v>1470</v>
      </c>
      <c r="C32" s="50" t="s">
        <v>1399</v>
      </c>
      <c r="D32" s="28" t="s">
        <v>1539</v>
      </c>
      <c r="E32" t="s">
        <v>1506</v>
      </c>
    </row>
    <row r="33" spans="1:5" x14ac:dyDescent="0.25">
      <c r="A33" s="12" t="s">
        <v>1471</v>
      </c>
      <c r="B33" s="12" t="s">
        <v>1471</v>
      </c>
      <c r="C33" s="62" t="s">
        <v>1436</v>
      </c>
      <c r="D33" s="28" t="s">
        <v>1540</v>
      </c>
      <c r="E33" t="s">
        <v>1507</v>
      </c>
    </row>
    <row r="34" spans="1:5" x14ac:dyDescent="0.25">
      <c r="A34" s="12" t="s">
        <v>1472</v>
      </c>
      <c r="B34" s="12" t="s">
        <v>1472</v>
      </c>
      <c r="C34" s="64" t="s">
        <v>1435</v>
      </c>
      <c r="D34" s="28" t="s">
        <v>1541</v>
      </c>
      <c r="E34" t="s">
        <v>1508</v>
      </c>
    </row>
    <row r="35" spans="1:5" x14ac:dyDescent="0.25">
      <c r="A35" s="12" t="s">
        <v>1422</v>
      </c>
      <c r="B35" s="12" t="s">
        <v>1422</v>
      </c>
      <c r="C35" s="63" t="s">
        <v>1460</v>
      </c>
      <c r="D35" s="28" t="s">
        <v>1542</v>
      </c>
      <c r="E35" t="s">
        <v>1509</v>
      </c>
    </row>
    <row r="36" spans="1:5" x14ac:dyDescent="0.25">
      <c r="A36" s="12" t="s">
        <v>1473</v>
      </c>
      <c r="B36" s="12" t="s">
        <v>1473</v>
      </c>
      <c r="C36" s="87" t="s">
        <v>1499</v>
      </c>
      <c r="D36" s="28" t="s">
        <v>1543</v>
      </c>
      <c r="E36" t="s">
        <v>1510</v>
      </c>
    </row>
    <row r="37" spans="1:5" x14ac:dyDescent="0.25">
      <c r="A37" s="12" t="s">
        <v>1474</v>
      </c>
      <c r="B37" s="12" t="s">
        <v>1474</v>
      </c>
      <c r="C37" s="60" t="s">
        <v>1426</v>
      </c>
      <c r="D37" s="28" t="s">
        <v>1544</v>
      </c>
      <c r="E37" t="s">
        <v>1511</v>
      </c>
    </row>
    <row r="38" spans="1:5" x14ac:dyDescent="0.25">
      <c r="A38" s="12" t="s">
        <v>1475</v>
      </c>
      <c r="B38" s="12" t="s">
        <v>1475</v>
      </c>
      <c r="C38" s="60" t="s">
        <v>1426</v>
      </c>
      <c r="D38" s="28" t="s">
        <v>1545</v>
      </c>
      <c r="E38" t="s">
        <v>1512</v>
      </c>
    </row>
    <row r="39" spans="1:5" x14ac:dyDescent="0.25">
      <c r="A39" s="12" t="s">
        <v>1476</v>
      </c>
      <c r="B39" s="12" t="s">
        <v>1476</v>
      </c>
      <c r="C39" s="60" t="s">
        <v>1426</v>
      </c>
      <c r="D39" s="28" t="s">
        <v>1546</v>
      </c>
      <c r="E39" t="s">
        <v>1513</v>
      </c>
    </row>
    <row r="40" spans="1:5" x14ac:dyDescent="0.25">
      <c r="A40" s="12" t="s">
        <v>1477</v>
      </c>
      <c r="B40" s="12" t="s">
        <v>1477</v>
      </c>
      <c r="C40" s="60" t="s">
        <v>1426</v>
      </c>
      <c r="D40" s="28" t="s">
        <v>1547</v>
      </c>
      <c r="E40" t="s">
        <v>1514</v>
      </c>
    </row>
    <row r="41" spans="1:5" x14ac:dyDescent="0.25">
      <c r="A41" s="12" t="s">
        <v>1478</v>
      </c>
      <c r="B41" s="12" t="s">
        <v>1478</v>
      </c>
      <c r="C41" s="88" t="s">
        <v>1500</v>
      </c>
      <c r="D41" s="28" t="s">
        <v>1548</v>
      </c>
      <c r="E41" t="s">
        <v>1515</v>
      </c>
    </row>
    <row r="42" spans="1:5" x14ac:dyDescent="0.25">
      <c r="A42" s="12" t="s">
        <v>1479</v>
      </c>
      <c r="B42" s="12" t="s">
        <v>1479</v>
      </c>
      <c r="C42" s="88" t="s">
        <v>1500</v>
      </c>
      <c r="D42" s="28" t="s">
        <v>1549</v>
      </c>
      <c r="E42" t="s">
        <v>1516</v>
      </c>
    </row>
    <row r="43" spans="1:5" x14ac:dyDescent="0.25">
      <c r="A43" s="12" t="s">
        <v>1480</v>
      </c>
      <c r="B43" s="12" t="s">
        <v>1480</v>
      </c>
      <c r="C43" s="51" t="s">
        <v>1427</v>
      </c>
      <c r="D43" s="28" t="s">
        <v>1550</v>
      </c>
      <c r="E43" t="s">
        <v>1517</v>
      </c>
    </row>
    <row r="44" spans="1:5" x14ac:dyDescent="0.25">
      <c r="A44" s="12" t="s">
        <v>1481</v>
      </c>
      <c r="B44" s="12" t="s">
        <v>1481</v>
      </c>
      <c r="C44" s="51" t="s">
        <v>1427</v>
      </c>
      <c r="D44" s="28" t="s">
        <v>1551</v>
      </c>
      <c r="E44" t="s">
        <v>1518</v>
      </c>
    </row>
    <row r="45" spans="1:5" x14ac:dyDescent="0.25">
      <c r="A45" s="12" t="s">
        <v>1482</v>
      </c>
      <c r="B45" s="12" t="s">
        <v>1482</v>
      </c>
      <c r="C45" s="51" t="s">
        <v>1427</v>
      </c>
      <c r="D45" s="28" t="s">
        <v>1552</v>
      </c>
      <c r="E45" t="s">
        <v>1519</v>
      </c>
    </row>
    <row r="46" spans="1:5" x14ac:dyDescent="0.25">
      <c r="A46" s="12" t="s">
        <v>1483</v>
      </c>
      <c r="B46" s="12" t="s">
        <v>1483</v>
      </c>
      <c r="C46" s="51" t="s">
        <v>1427</v>
      </c>
      <c r="D46" s="28" t="s">
        <v>1553</v>
      </c>
      <c r="E46" t="s">
        <v>1520</v>
      </c>
    </row>
    <row r="47" spans="1:5" x14ac:dyDescent="0.25">
      <c r="A47" s="12" t="s">
        <v>1484</v>
      </c>
      <c r="B47" s="12" t="s">
        <v>1484</v>
      </c>
      <c r="C47" s="51" t="s">
        <v>1427</v>
      </c>
      <c r="D47" s="28" t="s">
        <v>1554</v>
      </c>
      <c r="E47" t="s">
        <v>1521</v>
      </c>
    </row>
    <row r="48" spans="1:5" x14ac:dyDescent="0.25">
      <c r="A48" s="12" t="s">
        <v>1485</v>
      </c>
      <c r="B48" s="12" t="s">
        <v>1485</v>
      </c>
      <c r="C48" s="61" t="s">
        <v>1437</v>
      </c>
      <c r="D48" s="28" t="s">
        <v>1555</v>
      </c>
      <c r="E48" t="s">
        <v>1522</v>
      </c>
    </row>
    <row r="49" spans="1:8" x14ac:dyDescent="0.25">
      <c r="A49" s="12" t="s">
        <v>1486</v>
      </c>
      <c r="B49" s="12" t="s">
        <v>1486</v>
      </c>
      <c r="C49" s="61" t="s">
        <v>1437</v>
      </c>
      <c r="D49" s="28" t="s">
        <v>1556</v>
      </c>
      <c r="E49" t="s">
        <v>1523</v>
      </c>
    </row>
    <row r="50" spans="1:8" x14ac:dyDescent="0.25">
      <c r="A50" s="12" t="s">
        <v>1487</v>
      </c>
      <c r="B50" s="12" t="s">
        <v>1487</v>
      </c>
      <c r="C50" s="63" t="s">
        <v>1460</v>
      </c>
      <c r="D50" s="28" t="s">
        <v>1557</v>
      </c>
      <c r="E50" t="s">
        <v>1524</v>
      </c>
    </row>
    <row r="51" spans="1:8" x14ac:dyDescent="0.25">
      <c r="A51" s="12" t="s">
        <v>1488</v>
      </c>
      <c r="B51" s="12" t="s">
        <v>1488</v>
      </c>
      <c r="C51" s="63" t="s">
        <v>1460</v>
      </c>
      <c r="D51" s="28" t="s">
        <v>1558</v>
      </c>
      <c r="E51" t="s">
        <v>1525</v>
      </c>
    </row>
    <row r="52" spans="1:8" x14ac:dyDescent="0.25">
      <c r="A52" s="12" t="s">
        <v>1489</v>
      </c>
      <c r="B52" s="12" t="s">
        <v>1489</v>
      </c>
      <c r="C52" s="63" t="s">
        <v>1460</v>
      </c>
      <c r="D52" s="28" t="s">
        <v>1559</v>
      </c>
      <c r="E52" t="s">
        <v>1526</v>
      </c>
    </row>
    <row r="53" spans="1:8" x14ac:dyDescent="0.25">
      <c r="A53" s="12" t="s">
        <v>1490</v>
      </c>
      <c r="B53" s="12" t="s">
        <v>1490</v>
      </c>
      <c r="C53" s="63" t="s">
        <v>1460</v>
      </c>
      <c r="D53" s="28" t="s">
        <v>1560</v>
      </c>
      <c r="E53" t="s">
        <v>1527</v>
      </c>
    </row>
    <row r="54" spans="1:8" x14ac:dyDescent="0.25">
      <c r="A54" s="12" t="s">
        <v>1491</v>
      </c>
      <c r="B54" s="12" t="s">
        <v>1491</v>
      </c>
      <c r="C54" s="63" t="s">
        <v>1460</v>
      </c>
      <c r="D54" s="28" t="s">
        <v>1561</v>
      </c>
      <c r="E54" t="s">
        <v>1528</v>
      </c>
    </row>
    <row r="55" spans="1:8" x14ac:dyDescent="0.25">
      <c r="A55" s="12" t="s">
        <v>1492</v>
      </c>
      <c r="B55" s="12" t="s">
        <v>1492</v>
      </c>
      <c r="C55" s="63" t="s">
        <v>1460</v>
      </c>
      <c r="D55" s="28" t="s">
        <v>1562</v>
      </c>
      <c r="E55" t="s">
        <v>1529</v>
      </c>
    </row>
    <row r="56" spans="1:8" x14ac:dyDescent="0.25">
      <c r="A56" s="12" t="s">
        <v>1493</v>
      </c>
      <c r="B56" s="12" t="s">
        <v>1493</v>
      </c>
      <c r="C56" s="89" t="s">
        <v>1501</v>
      </c>
      <c r="D56" s="28" t="s">
        <v>1563</v>
      </c>
      <c r="E56" t="s">
        <v>1530</v>
      </c>
    </row>
    <row r="57" spans="1:8" x14ac:dyDescent="0.25">
      <c r="A57" s="12" t="s">
        <v>1494</v>
      </c>
      <c r="B57" s="12" t="s">
        <v>1494</v>
      </c>
      <c r="C57" s="89" t="s">
        <v>1501</v>
      </c>
      <c r="D57" s="28" t="s">
        <v>1564</v>
      </c>
      <c r="E57" t="s">
        <v>1531</v>
      </c>
    </row>
    <row r="58" spans="1:8" x14ac:dyDescent="0.25">
      <c r="A58" s="12" t="s">
        <v>1495</v>
      </c>
      <c r="B58" s="12" t="s">
        <v>1495</v>
      </c>
      <c r="C58" s="55" t="s">
        <v>1432</v>
      </c>
      <c r="D58" s="28" t="s">
        <v>1565</v>
      </c>
      <c r="E58" t="s">
        <v>1532</v>
      </c>
    </row>
    <row r="59" spans="1:8" x14ac:dyDescent="0.25">
      <c r="A59" s="12" t="s">
        <v>1496</v>
      </c>
      <c r="B59" s="12" t="s">
        <v>1496</v>
      </c>
      <c r="C59" s="55" t="s">
        <v>1432</v>
      </c>
      <c r="D59" s="28" t="s">
        <v>1566</v>
      </c>
      <c r="E59" t="s">
        <v>1533</v>
      </c>
    </row>
    <row r="60" spans="1:8" x14ac:dyDescent="0.25">
      <c r="A60" s="12" t="s">
        <v>1469</v>
      </c>
      <c r="B60" s="12" t="s">
        <v>1469</v>
      </c>
      <c r="C60" s="54" t="s">
        <v>1431</v>
      </c>
      <c r="D60" s="28" t="s">
        <v>1538</v>
      </c>
      <c r="E60" t="s">
        <v>1505</v>
      </c>
    </row>
    <row r="61" spans="1:8" x14ac:dyDescent="0.25">
      <c r="A61" s="12" t="s">
        <v>1497</v>
      </c>
      <c r="B61" s="12" t="s">
        <v>1497</v>
      </c>
      <c r="C61" s="61" t="s">
        <v>1437</v>
      </c>
      <c r="D61" s="28" t="s">
        <v>1567</v>
      </c>
      <c r="E61" t="s">
        <v>1534</v>
      </c>
    </row>
    <row r="62" spans="1:8" x14ac:dyDescent="0.25">
      <c r="A62" s="12" t="s">
        <v>1498</v>
      </c>
      <c r="B62" s="12" t="s">
        <v>1498</v>
      </c>
      <c r="C62" s="60" t="s">
        <v>1426</v>
      </c>
      <c r="D62" s="28" t="s">
        <v>1568</v>
      </c>
      <c r="E62" t="s">
        <v>1535</v>
      </c>
      <c r="G62" s="28"/>
      <c r="H62" s="28"/>
    </row>
    <row r="63" spans="1:8" x14ac:dyDescent="0.25">
      <c r="A63" s="12" t="s">
        <v>3270</v>
      </c>
      <c r="B63" s="12" t="s">
        <v>3270</v>
      </c>
      <c r="C63" s="28" t="s">
        <v>3375</v>
      </c>
      <c r="D63" s="28" t="s">
        <v>3376</v>
      </c>
      <c r="E63" t="s">
        <v>3377</v>
      </c>
      <c r="G63" s="28"/>
      <c r="H63" s="28"/>
    </row>
    <row r="64" spans="1:8" x14ac:dyDescent="0.25">
      <c r="A64" s="12" t="s">
        <v>3271</v>
      </c>
      <c r="B64" s="12" t="s">
        <v>3271</v>
      </c>
      <c r="C64" s="28" t="s">
        <v>1893</v>
      </c>
      <c r="D64" s="28" t="s">
        <v>3283</v>
      </c>
      <c r="E64" s="28" t="s">
        <v>3290</v>
      </c>
      <c r="G64" s="28"/>
      <c r="H64" s="28"/>
    </row>
    <row r="65" spans="1:8" x14ac:dyDescent="0.25">
      <c r="A65" s="12" t="s">
        <v>1419</v>
      </c>
      <c r="B65" s="12" t="s">
        <v>1419</v>
      </c>
      <c r="C65" s="28" t="s">
        <v>1913</v>
      </c>
      <c r="D65" s="28" t="s">
        <v>3284</v>
      </c>
      <c r="E65" s="28" t="s">
        <v>3291</v>
      </c>
      <c r="G65" s="28"/>
      <c r="H65" s="28"/>
    </row>
    <row r="66" spans="1:8" x14ac:dyDescent="0.25">
      <c r="A66" s="12" t="s">
        <v>3272</v>
      </c>
      <c r="B66" s="12" t="s">
        <v>3272</v>
      </c>
      <c r="C66" s="28" t="s">
        <v>1759</v>
      </c>
      <c r="D66" s="28" t="s">
        <v>3285</v>
      </c>
      <c r="E66" s="28" t="s">
        <v>3292</v>
      </c>
      <c r="G66" s="28"/>
      <c r="H66" s="28"/>
    </row>
    <row r="67" spans="1:8" x14ac:dyDescent="0.25">
      <c r="A67" s="12" t="s">
        <v>3273</v>
      </c>
      <c r="B67" s="12" t="s">
        <v>3273</v>
      </c>
      <c r="C67" s="28" t="s">
        <v>1859</v>
      </c>
      <c r="D67" s="28" t="s">
        <v>3286</v>
      </c>
      <c r="E67" s="28" t="s">
        <v>3293</v>
      </c>
      <c r="G67" s="28"/>
      <c r="H67" s="28"/>
    </row>
    <row r="68" spans="1:8" x14ac:dyDescent="0.25">
      <c r="A68" s="12" t="s">
        <v>3274</v>
      </c>
      <c r="B68" s="12" t="s">
        <v>3274</v>
      </c>
      <c r="C68" s="28" t="s">
        <v>1884</v>
      </c>
      <c r="D68" s="28" t="s">
        <v>3282</v>
      </c>
      <c r="E68" s="28" t="s">
        <v>3294</v>
      </c>
      <c r="G68" s="28"/>
      <c r="H68" s="28"/>
    </row>
    <row r="69" spans="1:8" x14ac:dyDescent="0.25">
      <c r="A69" s="12" t="s">
        <v>3275</v>
      </c>
      <c r="B69" s="12" t="s">
        <v>3275</v>
      </c>
      <c r="C69" s="28" t="s">
        <v>1942</v>
      </c>
      <c r="D69" s="28" t="s">
        <v>3287</v>
      </c>
      <c r="E69" s="28" t="s">
        <v>3295</v>
      </c>
      <c r="G69" s="28"/>
      <c r="H69" s="28"/>
    </row>
    <row r="70" spans="1:8" x14ac:dyDescent="0.25">
      <c r="A70" s="12" t="s">
        <v>3276</v>
      </c>
      <c r="B70" s="12" t="s">
        <v>3276</v>
      </c>
      <c r="C70" s="28" t="s">
        <v>1841</v>
      </c>
      <c r="D70" s="28" t="s">
        <v>3288</v>
      </c>
      <c r="E70" s="28" t="s">
        <v>3296</v>
      </c>
      <c r="G70" s="28"/>
      <c r="H70" s="28"/>
    </row>
    <row r="71" spans="1:8" x14ac:dyDescent="0.25">
      <c r="A71" s="12" t="s">
        <v>3277</v>
      </c>
      <c r="B71" s="12" t="s">
        <v>3277</v>
      </c>
      <c r="C71" s="28" t="s">
        <v>1949</v>
      </c>
      <c r="D71" s="28" t="s">
        <v>3289</v>
      </c>
      <c r="E71" s="28" t="s">
        <v>3297</v>
      </c>
      <c r="G71" s="28"/>
      <c r="H71" s="28"/>
    </row>
    <row r="72" spans="1:8" x14ac:dyDescent="0.25">
      <c r="A72" s="12" t="s">
        <v>3298</v>
      </c>
      <c r="B72" s="12" t="s">
        <v>3298</v>
      </c>
      <c r="C72" t="s">
        <v>1460</v>
      </c>
      <c r="D72" t="s">
        <v>3278</v>
      </c>
      <c r="E72" t="s">
        <v>3278</v>
      </c>
      <c r="G72" s="28"/>
      <c r="H72" s="28"/>
    </row>
    <row r="73" spans="1:8" x14ac:dyDescent="0.25">
      <c r="A73" s="12" t="s">
        <v>3299</v>
      </c>
      <c r="B73" s="12" t="s">
        <v>3299</v>
      </c>
      <c r="C73" t="s">
        <v>1893</v>
      </c>
      <c r="D73" t="s">
        <v>3279</v>
      </c>
      <c r="E73" t="s">
        <v>3290</v>
      </c>
    </row>
    <row r="74" spans="1:8" x14ac:dyDescent="0.25">
      <c r="A74" s="12" t="s">
        <v>3281</v>
      </c>
      <c r="B74" s="12" t="s">
        <v>3281</v>
      </c>
      <c r="C74" t="s">
        <v>1949</v>
      </c>
      <c r="D74" t="s">
        <v>3280</v>
      </c>
      <c r="E74" t="s">
        <v>3300</v>
      </c>
    </row>
    <row r="75" spans="1:8" x14ac:dyDescent="0.25">
      <c r="A75" s="12" t="s">
        <v>3301</v>
      </c>
      <c r="B75" s="12" t="s">
        <v>3301</v>
      </c>
      <c r="C75" t="s">
        <v>1427</v>
      </c>
      <c r="D75" s="28" t="s">
        <v>3311</v>
      </c>
      <c r="E75" t="s">
        <v>3320</v>
      </c>
    </row>
    <row r="76" spans="1:8" x14ac:dyDescent="0.25">
      <c r="A76" s="12" t="s">
        <v>3302</v>
      </c>
      <c r="B76" s="12" t="s">
        <v>3302</v>
      </c>
      <c r="C76" t="s">
        <v>3310</v>
      </c>
      <c r="D76" s="28" t="s">
        <v>3312</v>
      </c>
      <c r="E76" s="28" t="s">
        <v>3321</v>
      </c>
    </row>
    <row r="77" spans="1:8" x14ac:dyDescent="0.25">
      <c r="A77" s="12" t="s">
        <v>3303</v>
      </c>
      <c r="B77" s="12" t="s">
        <v>3303</v>
      </c>
      <c r="C77" t="s">
        <v>1949</v>
      </c>
      <c r="D77" s="28" t="s">
        <v>3313</v>
      </c>
      <c r="E77" s="28" t="s">
        <v>3322</v>
      </c>
    </row>
    <row r="78" spans="1:8" x14ac:dyDescent="0.25">
      <c r="A78" s="12" t="s">
        <v>3304</v>
      </c>
      <c r="B78" s="12" t="s">
        <v>3304</v>
      </c>
      <c r="C78" t="s">
        <v>1938</v>
      </c>
      <c r="D78" s="28" t="s">
        <v>3314</v>
      </c>
      <c r="E78" s="28" t="s">
        <v>3323</v>
      </c>
    </row>
    <row r="79" spans="1:8" x14ac:dyDescent="0.25">
      <c r="A79" s="12" t="s">
        <v>3305</v>
      </c>
      <c r="B79" s="12" t="s">
        <v>3305</v>
      </c>
      <c r="C79" t="s">
        <v>1884</v>
      </c>
      <c r="D79" s="28" t="s">
        <v>3329</v>
      </c>
      <c r="E79" s="28" t="s">
        <v>3330</v>
      </c>
    </row>
    <row r="80" spans="1:8" x14ac:dyDescent="0.25">
      <c r="A80" s="12" t="s">
        <v>3306</v>
      </c>
      <c r="B80" s="12" t="s">
        <v>3306</v>
      </c>
      <c r="C80" t="s">
        <v>1855</v>
      </c>
      <c r="D80" s="28" t="s">
        <v>3315</v>
      </c>
      <c r="E80" s="28" t="s">
        <v>3324</v>
      </c>
    </row>
    <row r="81" spans="1:5" x14ac:dyDescent="0.25">
      <c r="A81" s="12" t="s">
        <v>1409</v>
      </c>
      <c r="B81" s="12" t="s">
        <v>1409</v>
      </c>
      <c r="C81" t="s">
        <v>1847</v>
      </c>
      <c r="D81" s="28" t="s">
        <v>3316</v>
      </c>
      <c r="E81" s="28" t="s">
        <v>3325</v>
      </c>
    </row>
    <row r="82" spans="1:5" x14ac:dyDescent="0.25">
      <c r="A82" s="12" t="s">
        <v>3307</v>
      </c>
      <c r="B82" s="12" t="s">
        <v>3307</v>
      </c>
      <c r="C82" t="s">
        <v>1795</v>
      </c>
      <c r="D82" s="28" t="s">
        <v>3317</v>
      </c>
      <c r="E82" s="28" t="s">
        <v>3326</v>
      </c>
    </row>
    <row r="83" spans="1:5" x14ac:dyDescent="0.25">
      <c r="A83" s="12" t="s">
        <v>3308</v>
      </c>
      <c r="B83" s="12" t="s">
        <v>3308</v>
      </c>
      <c r="C83" t="s">
        <v>1766</v>
      </c>
      <c r="D83" s="28" t="s">
        <v>3318</v>
      </c>
      <c r="E83" s="28" t="s">
        <v>3327</v>
      </c>
    </row>
    <row r="84" spans="1:5" x14ac:dyDescent="0.25">
      <c r="A84" s="12" t="s">
        <v>3309</v>
      </c>
      <c r="B84" s="12" t="s">
        <v>3309</v>
      </c>
      <c r="C84" t="s">
        <v>1814</v>
      </c>
      <c r="D84" s="28" t="s">
        <v>3319</v>
      </c>
      <c r="E84" s="28" t="s">
        <v>3328</v>
      </c>
    </row>
    <row r="85" spans="1:5" x14ac:dyDescent="0.25">
      <c r="A85" s="12" t="s">
        <v>3331</v>
      </c>
      <c r="B85" s="12" t="s">
        <v>3331</v>
      </c>
      <c r="C85" t="s">
        <v>1437</v>
      </c>
      <c r="D85" t="s">
        <v>3335</v>
      </c>
      <c r="E85" s="28" t="s">
        <v>3337</v>
      </c>
    </row>
    <row r="86" spans="1:5" x14ac:dyDescent="0.25">
      <c r="A86" s="12" t="s">
        <v>3332</v>
      </c>
      <c r="B86" s="12" t="s">
        <v>3332</v>
      </c>
      <c r="C86" s="28" t="s">
        <v>1847</v>
      </c>
      <c r="D86" s="28" t="s">
        <v>3340</v>
      </c>
      <c r="E86" s="28" t="s">
        <v>3341</v>
      </c>
    </row>
    <row r="87" spans="1:5" x14ac:dyDescent="0.25">
      <c r="A87" s="12" t="s">
        <v>3333</v>
      </c>
      <c r="B87" s="12" t="s">
        <v>3333</v>
      </c>
      <c r="C87" s="28" t="s">
        <v>1884</v>
      </c>
      <c r="D87" s="28" t="s">
        <v>3342</v>
      </c>
      <c r="E87" s="28" t="s">
        <v>3343</v>
      </c>
    </row>
    <row r="88" spans="1:5" x14ac:dyDescent="0.25">
      <c r="A88" s="12" t="s">
        <v>1469</v>
      </c>
      <c r="B88" s="12" t="s">
        <v>1469</v>
      </c>
      <c r="C88" t="s">
        <v>1431</v>
      </c>
      <c r="D88" s="28" t="s">
        <v>1505</v>
      </c>
      <c r="E88" s="28" t="s">
        <v>3338</v>
      </c>
    </row>
    <row r="89" spans="1:5" x14ac:dyDescent="0.25">
      <c r="A89" s="12" t="s">
        <v>3334</v>
      </c>
      <c r="B89" s="12" t="s">
        <v>3334</v>
      </c>
      <c r="C89" t="s">
        <v>1427</v>
      </c>
      <c r="D89" s="28" t="s">
        <v>3336</v>
      </c>
      <c r="E89" s="28" t="s">
        <v>3339</v>
      </c>
    </row>
    <row r="90" spans="1:5" s="28" customFormat="1" x14ac:dyDescent="0.25">
      <c r="A90" s="12" t="s">
        <v>3344</v>
      </c>
      <c r="B90" s="12" t="s">
        <v>3344</v>
      </c>
      <c r="C90" s="28" t="s">
        <v>2125</v>
      </c>
      <c r="D90" s="28" t="s">
        <v>3345</v>
      </c>
      <c r="E90" s="28" t="s">
        <v>3346</v>
      </c>
    </row>
    <row r="91" spans="1:5" x14ac:dyDescent="0.25">
      <c r="A91" t="s">
        <v>3351</v>
      </c>
      <c r="B91" t="s">
        <v>3351</v>
      </c>
      <c r="C91" t="s">
        <v>3358</v>
      </c>
      <c r="D91" t="s">
        <v>3365</v>
      </c>
      <c r="E91" s="28" t="s">
        <v>3366</v>
      </c>
    </row>
    <row r="92" spans="1:5" x14ac:dyDescent="0.25">
      <c r="A92" t="s">
        <v>3352</v>
      </c>
      <c r="B92" t="s">
        <v>3352</v>
      </c>
      <c r="C92" s="28" t="s">
        <v>1437</v>
      </c>
      <c r="D92" s="28" t="s">
        <v>3364</v>
      </c>
      <c r="E92" s="28" t="s">
        <v>3367</v>
      </c>
    </row>
    <row r="93" spans="1:5" x14ac:dyDescent="0.25">
      <c r="A93" t="s">
        <v>3353</v>
      </c>
      <c r="B93" t="s">
        <v>3353</v>
      </c>
      <c r="C93" s="28" t="s">
        <v>1795</v>
      </c>
      <c r="D93" s="28" t="s">
        <v>3363</v>
      </c>
      <c r="E93" s="28" t="s">
        <v>3368</v>
      </c>
    </row>
    <row r="94" spans="1:5" x14ac:dyDescent="0.25">
      <c r="A94" t="s">
        <v>3354</v>
      </c>
      <c r="B94" t="s">
        <v>3354</v>
      </c>
      <c r="C94" s="28" t="s">
        <v>1845</v>
      </c>
      <c r="D94" s="28" t="s">
        <v>3362</v>
      </c>
      <c r="E94" s="28" t="s">
        <v>3369</v>
      </c>
    </row>
    <row r="95" spans="1:5" x14ac:dyDescent="0.25">
      <c r="A95" t="s">
        <v>3355</v>
      </c>
      <c r="B95" t="s">
        <v>3355</v>
      </c>
      <c r="C95" s="28" t="s">
        <v>1913</v>
      </c>
      <c r="D95" s="28" t="s">
        <v>3361</v>
      </c>
      <c r="E95" s="28" t="s">
        <v>3370</v>
      </c>
    </row>
    <row r="96" spans="1:5" x14ac:dyDescent="0.25">
      <c r="A96" t="s">
        <v>3356</v>
      </c>
      <c r="B96" t="s">
        <v>3356</v>
      </c>
      <c r="C96" s="28" t="s">
        <v>1938</v>
      </c>
      <c r="D96" s="28" t="s">
        <v>3360</v>
      </c>
      <c r="E96" s="28" t="s">
        <v>3371</v>
      </c>
    </row>
    <row r="97" spans="1:5" x14ac:dyDescent="0.25">
      <c r="A97" t="s">
        <v>3357</v>
      </c>
      <c r="B97" t="s">
        <v>3357</v>
      </c>
      <c r="C97" s="28" t="s">
        <v>1949</v>
      </c>
      <c r="D97" s="28" t="s">
        <v>3359</v>
      </c>
      <c r="E97" s="28" t="s">
        <v>3372</v>
      </c>
    </row>
    <row r="98" spans="1:5" x14ac:dyDescent="0.25">
      <c r="A98" t="s">
        <v>3347</v>
      </c>
      <c r="B98" t="s">
        <v>3347</v>
      </c>
      <c r="C98" t="s">
        <v>1949</v>
      </c>
      <c r="D98" s="28" t="s">
        <v>3348</v>
      </c>
      <c r="E98" s="28" t="s">
        <v>3349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גיליון5"/>
  <dimension ref="A1:M200"/>
  <sheetViews>
    <sheetView workbookViewId="0">
      <selection activeCell="E14" sqref="E14"/>
    </sheetView>
  </sheetViews>
  <sheetFormatPr defaultColWidth="9" defaultRowHeight="15" x14ac:dyDescent="0.25"/>
  <cols>
    <col min="1" max="1" width="12" style="28" customWidth="1"/>
    <col min="2" max="2" width="10" style="28" customWidth="1"/>
    <col min="3" max="3" width="12.42578125" style="28" customWidth="1"/>
    <col min="4" max="4" width="10.7109375" style="28" customWidth="1"/>
    <col min="5" max="5" width="51.42578125" style="28" bestFit="1" customWidth="1"/>
    <col min="6" max="6" width="21.28515625" style="29" bestFit="1" customWidth="1"/>
    <col min="7" max="7" width="22.85546875" style="28" bestFit="1" customWidth="1"/>
    <col min="8" max="8" width="15.28515625" style="28" bestFit="1" customWidth="1"/>
    <col min="9" max="9" width="22.85546875" style="42" bestFit="1" customWidth="1"/>
    <col min="10" max="11" width="9" style="45" bestFit="1" customWidth="1"/>
    <col min="12" max="12" width="13.85546875" style="31" bestFit="1" customWidth="1"/>
    <col min="13" max="13" width="22.85546875" style="43" bestFit="1" customWidth="1"/>
    <col min="14" max="16384" width="9" style="28"/>
  </cols>
  <sheetData>
    <row r="1" spans="1:13" x14ac:dyDescent="0.25">
      <c r="A1" s="32" t="s">
        <v>804</v>
      </c>
      <c r="B1" s="33" t="s">
        <v>805</v>
      </c>
      <c r="C1" s="33" t="s">
        <v>1091</v>
      </c>
      <c r="D1" s="33" t="s">
        <v>806</v>
      </c>
      <c r="E1" s="33" t="s">
        <v>1092</v>
      </c>
      <c r="F1" s="33" t="s">
        <v>1093</v>
      </c>
      <c r="G1" s="34" t="s">
        <v>521</v>
      </c>
      <c r="I1" s="40" t="s">
        <v>1096</v>
      </c>
      <c r="J1" s="44" t="s">
        <v>1097</v>
      </c>
      <c r="K1" s="44" t="s">
        <v>1098</v>
      </c>
      <c r="L1" s="33" t="s">
        <v>1092</v>
      </c>
      <c r="M1" s="41" t="s">
        <v>521</v>
      </c>
    </row>
    <row r="2" spans="1:13" x14ac:dyDescent="0.25">
      <c r="A2" s="35" t="s">
        <v>807</v>
      </c>
      <c r="B2" s="12" t="s">
        <v>1076</v>
      </c>
      <c r="C2" s="12" t="s">
        <v>808</v>
      </c>
      <c r="D2" s="12" t="s">
        <v>809</v>
      </c>
      <c r="E2" s="12" t="s">
        <v>810</v>
      </c>
      <c r="F2" s="2" t="s">
        <v>811</v>
      </c>
      <c r="G2" s="36" t="s">
        <v>489</v>
      </c>
      <c r="H2" s="30"/>
    </row>
    <row r="3" spans="1:13" x14ac:dyDescent="0.25">
      <c r="A3" s="35" t="s">
        <v>807</v>
      </c>
      <c r="B3" s="12" t="s">
        <v>1076</v>
      </c>
      <c r="C3" s="12" t="s">
        <v>808</v>
      </c>
      <c r="D3" s="12" t="s">
        <v>812</v>
      </c>
      <c r="E3" s="12" t="s">
        <v>813</v>
      </c>
      <c r="F3" s="2">
        <v>0.126</v>
      </c>
      <c r="G3" s="36" t="s">
        <v>490</v>
      </c>
      <c r="H3" s="30"/>
    </row>
    <row r="4" spans="1:13" x14ac:dyDescent="0.25">
      <c r="A4" s="35" t="s">
        <v>807</v>
      </c>
      <c r="B4" s="12" t="s">
        <v>1076</v>
      </c>
      <c r="C4" s="12" t="s">
        <v>808</v>
      </c>
      <c r="D4" s="12" t="s">
        <v>812</v>
      </c>
      <c r="E4" s="12" t="s">
        <v>814</v>
      </c>
      <c r="F4" s="2">
        <v>0.78100000000000003</v>
      </c>
      <c r="G4" s="36" t="s">
        <v>490</v>
      </c>
      <c r="H4" s="30"/>
    </row>
    <row r="5" spans="1:13" x14ac:dyDescent="0.25">
      <c r="A5" s="35" t="s">
        <v>807</v>
      </c>
      <c r="B5" s="12" t="s">
        <v>1076</v>
      </c>
      <c r="C5" s="12" t="s">
        <v>808</v>
      </c>
      <c r="D5" s="12" t="s">
        <v>812</v>
      </c>
      <c r="E5" s="12" t="s">
        <v>815</v>
      </c>
      <c r="F5" s="2" t="s">
        <v>816</v>
      </c>
      <c r="G5" s="36" t="s">
        <v>490</v>
      </c>
      <c r="H5" s="30"/>
    </row>
    <row r="6" spans="1:13" x14ac:dyDescent="0.25">
      <c r="A6" s="35" t="s">
        <v>807</v>
      </c>
      <c r="B6" s="12" t="s">
        <v>1076</v>
      </c>
      <c r="C6" s="12" t="s">
        <v>808</v>
      </c>
      <c r="D6" s="12" t="s">
        <v>812</v>
      </c>
      <c r="E6" s="12" t="s">
        <v>817</v>
      </c>
      <c r="F6" s="2" t="s">
        <v>818</v>
      </c>
      <c r="G6" s="36" t="s">
        <v>490</v>
      </c>
      <c r="H6" s="30"/>
    </row>
    <row r="7" spans="1:13" x14ac:dyDescent="0.25">
      <c r="A7" s="35" t="s">
        <v>807</v>
      </c>
      <c r="B7" s="12" t="s">
        <v>1076</v>
      </c>
      <c r="C7" s="12" t="s">
        <v>819</v>
      </c>
      <c r="D7" s="12" t="s">
        <v>820</v>
      </c>
      <c r="E7" s="12" t="s">
        <v>821</v>
      </c>
      <c r="F7" s="2" t="s">
        <v>822</v>
      </c>
      <c r="G7" s="36" t="s">
        <v>490</v>
      </c>
      <c r="H7" s="30"/>
    </row>
    <row r="8" spans="1:13" x14ac:dyDescent="0.25">
      <c r="A8" s="35" t="s">
        <v>807</v>
      </c>
      <c r="B8" s="12" t="s">
        <v>1076</v>
      </c>
      <c r="C8" s="12" t="s">
        <v>819</v>
      </c>
      <c r="D8" s="12" t="s">
        <v>820</v>
      </c>
      <c r="E8" s="12" t="s">
        <v>823</v>
      </c>
      <c r="F8" s="2" t="s">
        <v>824</v>
      </c>
      <c r="G8" s="36" t="s">
        <v>490</v>
      </c>
      <c r="H8" s="30"/>
    </row>
    <row r="9" spans="1:13" x14ac:dyDescent="0.25">
      <c r="A9" s="35" t="s">
        <v>807</v>
      </c>
      <c r="B9" s="12" t="s">
        <v>1076</v>
      </c>
      <c r="C9" s="12" t="s">
        <v>819</v>
      </c>
      <c r="D9" s="12" t="s">
        <v>825</v>
      </c>
      <c r="E9" s="12" t="s">
        <v>826</v>
      </c>
      <c r="F9" s="2" t="s">
        <v>827</v>
      </c>
      <c r="G9" s="36" t="s">
        <v>491</v>
      </c>
      <c r="H9" s="30"/>
    </row>
    <row r="10" spans="1:13" x14ac:dyDescent="0.25">
      <c r="A10" s="35" t="s">
        <v>807</v>
      </c>
      <c r="B10" s="12" t="s">
        <v>1076</v>
      </c>
      <c r="C10" s="12" t="s">
        <v>819</v>
      </c>
      <c r="D10" s="12" t="s">
        <v>825</v>
      </c>
      <c r="E10" s="12" t="s">
        <v>828</v>
      </c>
      <c r="F10" s="2" t="s">
        <v>829</v>
      </c>
      <c r="G10" s="36" t="s">
        <v>491</v>
      </c>
      <c r="H10" s="30"/>
    </row>
    <row r="11" spans="1:13" x14ac:dyDescent="0.25">
      <c r="A11" s="35" t="s">
        <v>807</v>
      </c>
      <c r="B11" s="12" t="s">
        <v>1076</v>
      </c>
      <c r="C11" s="12" t="s">
        <v>819</v>
      </c>
      <c r="D11" s="12" t="s">
        <v>825</v>
      </c>
      <c r="E11" s="12" t="s">
        <v>830</v>
      </c>
      <c r="F11" s="2" t="s">
        <v>831</v>
      </c>
      <c r="G11" s="36" t="s">
        <v>491</v>
      </c>
      <c r="H11" s="30"/>
    </row>
    <row r="12" spans="1:13" x14ac:dyDescent="0.25">
      <c r="A12" s="35" t="s">
        <v>807</v>
      </c>
      <c r="B12" s="12" t="s">
        <v>1076</v>
      </c>
      <c r="C12" s="12" t="s">
        <v>819</v>
      </c>
      <c r="D12" s="12" t="s">
        <v>825</v>
      </c>
      <c r="E12" s="12" t="s">
        <v>832</v>
      </c>
      <c r="F12" s="2">
        <v>15.97</v>
      </c>
      <c r="G12" s="36" t="s">
        <v>491</v>
      </c>
      <c r="H12" s="30"/>
    </row>
    <row r="13" spans="1:13" x14ac:dyDescent="0.25">
      <c r="A13" s="35" t="s">
        <v>807</v>
      </c>
      <c r="B13" s="12" t="s">
        <v>1076</v>
      </c>
      <c r="C13" s="12" t="s">
        <v>819</v>
      </c>
      <c r="D13" s="12" t="s">
        <v>825</v>
      </c>
      <c r="E13" s="12" t="s">
        <v>833</v>
      </c>
      <c r="F13" s="2">
        <v>20.440000000000001</v>
      </c>
      <c r="G13" s="36" t="s">
        <v>491</v>
      </c>
      <c r="H13" s="30"/>
    </row>
    <row r="14" spans="1:13" x14ac:dyDescent="0.25">
      <c r="A14" s="35" t="s">
        <v>807</v>
      </c>
      <c r="B14" s="12" t="s">
        <v>1076</v>
      </c>
      <c r="C14" s="12" t="s">
        <v>819</v>
      </c>
      <c r="D14" s="12" t="s">
        <v>825</v>
      </c>
      <c r="E14" s="12" t="s">
        <v>834</v>
      </c>
      <c r="F14" s="2" t="s">
        <v>835</v>
      </c>
      <c r="G14" s="36" t="s">
        <v>491</v>
      </c>
      <c r="H14" s="30"/>
    </row>
    <row r="15" spans="1:13" x14ac:dyDescent="0.25">
      <c r="A15" s="35" t="s">
        <v>807</v>
      </c>
      <c r="B15" s="12" t="s">
        <v>1076</v>
      </c>
      <c r="C15" s="12" t="s">
        <v>803</v>
      </c>
      <c r="D15" s="12" t="s">
        <v>836</v>
      </c>
      <c r="E15" s="12" t="s">
        <v>837</v>
      </c>
      <c r="F15" s="2">
        <v>28.1</v>
      </c>
      <c r="G15" s="36" t="s">
        <v>491</v>
      </c>
      <c r="H15" s="30"/>
    </row>
    <row r="16" spans="1:13" x14ac:dyDescent="0.25">
      <c r="A16" s="35" t="s">
        <v>807</v>
      </c>
      <c r="B16" s="12" t="s">
        <v>1076</v>
      </c>
      <c r="C16" s="12" t="s">
        <v>803</v>
      </c>
      <c r="D16" s="12" t="s">
        <v>836</v>
      </c>
      <c r="E16" s="12" t="s">
        <v>838</v>
      </c>
      <c r="F16" s="2" t="s">
        <v>839</v>
      </c>
      <c r="G16" s="36" t="s">
        <v>491</v>
      </c>
      <c r="H16" s="30"/>
    </row>
    <row r="17" spans="1:8" x14ac:dyDescent="0.25">
      <c r="A17" s="35" t="s">
        <v>807</v>
      </c>
      <c r="B17" s="12" t="s">
        <v>1076</v>
      </c>
      <c r="C17" s="12" t="s">
        <v>803</v>
      </c>
      <c r="D17" s="12" t="s">
        <v>840</v>
      </c>
      <c r="E17" s="12" t="s">
        <v>841</v>
      </c>
      <c r="F17" s="2">
        <v>37.799999999999997</v>
      </c>
      <c r="G17" s="36" t="s">
        <v>491</v>
      </c>
      <c r="H17" s="30"/>
    </row>
    <row r="18" spans="1:8" x14ac:dyDescent="0.25">
      <c r="A18" s="35" t="s">
        <v>807</v>
      </c>
      <c r="B18" s="12" t="s">
        <v>1076</v>
      </c>
      <c r="C18" s="12" t="s">
        <v>803</v>
      </c>
      <c r="D18" s="12" t="s">
        <v>840</v>
      </c>
      <c r="E18" s="12" t="s">
        <v>842</v>
      </c>
      <c r="F18" s="2">
        <v>41.2</v>
      </c>
      <c r="G18" s="36" t="s">
        <v>140</v>
      </c>
      <c r="H18" s="30"/>
    </row>
    <row r="19" spans="1:8" x14ac:dyDescent="0.25">
      <c r="A19" s="35" t="s">
        <v>807</v>
      </c>
      <c r="B19" s="12" t="s">
        <v>1076</v>
      </c>
      <c r="C19" s="12" t="s">
        <v>803</v>
      </c>
      <c r="D19" s="12" t="s">
        <v>840</v>
      </c>
      <c r="E19" s="12" t="s">
        <v>843</v>
      </c>
      <c r="F19" s="2" t="s">
        <v>844</v>
      </c>
      <c r="G19" s="36" t="s">
        <v>140</v>
      </c>
      <c r="H19" s="30"/>
    </row>
    <row r="20" spans="1:8" x14ac:dyDescent="0.25">
      <c r="A20" s="35" t="s">
        <v>807</v>
      </c>
      <c r="B20" s="12" t="s">
        <v>1076</v>
      </c>
      <c r="C20" s="12" t="s">
        <v>803</v>
      </c>
      <c r="D20" s="12" t="s">
        <v>840</v>
      </c>
      <c r="E20" s="12" t="s">
        <v>845</v>
      </c>
      <c r="F20" s="2" t="s">
        <v>846</v>
      </c>
      <c r="G20" s="36" t="s">
        <v>140</v>
      </c>
      <c r="H20" s="30"/>
    </row>
    <row r="21" spans="1:8" x14ac:dyDescent="0.25">
      <c r="A21" s="35" t="s">
        <v>807</v>
      </c>
      <c r="B21" s="12" t="s">
        <v>1076</v>
      </c>
      <c r="C21" s="12" t="s">
        <v>803</v>
      </c>
      <c r="D21" s="12" t="s">
        <v>847</v>
      </c>
      <c r="E21" s="12" t="s">
        <v>848</v>
      </c>
      <c r="F21" s="2" t="s">
        <v>849</v>
      </c>
      <c r="G21" s="36" t="s">
        <v>140</v>
      </c>
      <c r="H21" s="30"/>
    </row>
    <row r="22" spans="1:8" x14ac:dyDescent="0.25">
      <c r="A22" s="35" t="s">
        <v>807</v>
      </c>
      <c r="B22" s="12" t="s">
        <v>1076</v>
      </c>
      <c r="C22" s="12" t="s">
        <v>803</v>
      </c>
      <c r="D22" s="12" t="s">
        <v>847</v>
      </c>
      <c r="E22" s="12" t="s">
        <v>850</v>
      </c>
      <c r="F22" s="2" t="s">
        <v>851</v>
      </c>
      <c r="G22" s="36" t="s">
        <v>140</v>
      </c>
      <c r="H22" s="30"/>
    </row>
    <row r="23" spans="1:8" x14ac:dyDescent="0.25">
      <c r="A23" s="35" t="s">
        <v>807</v>
      </c>
      <c r="B23" s="12" t="s">
        <v>1076</v>
      </c>
      <c r="C23" s="12" t="s">
        <v>803</v>
      </c>
      <c r="D23" s="12" t="s">
        <v>847</v>
      </c>
      <c r="E23" s="12" t="s">
        <v>852</v>
      </c>
      <c r="F23" s="2" t="s">
        <v>853</v>
      </c>
      <c r="G23" s="36" t="s">
        <v>136</v>
      </c>
      <c r="H23" s="30"/>
    </row>
    <row r="24" spans="1:8" x14ac:dyDescent="0.25">
      <c r="A24" s="35" t="s">
        <v>807</v>
      </c>
      <c r="B24" s="12" t="s">
        <v>854</v>
      </c>
      <c r="C24" s="12" t="s">
        <v>855</v>
      </c>
      <c r="D24" s="12" t="s">
        <v>856</v>
      </c>
      <c r="E24" s="12" t="s">
        <v>1380</v>
      </c>
      <c r="F24" s="2" t="s">
        <v>857</v>
      </c>
      <c r="G24" s="36" t="s">
        <v>136</v>
      </c>
      <c r="H24" s="30"/>
    </row>
    <row r="25" spans="1:8" x14ac:dyDescent="0.25">
      <c r="A25" s="35" t="s">
        <v>807</v>
      </c>
      <c r="B25" s="12" t="s">
        <v>854</v>
      </c>
      <c r="C25" s="12" t="s">
        <v>855</v>
      </c>
      <c r="D25" s="12" t="s">
        <v>856</v>
      </c>
      <c r="E25" s="12" t="s">
        <v>1379</v>
      </c>
      <c r="F25" s="2" t="s">
        <v>858</v>
      </c>
      <c r="G25" s="36" t="s">
        <v>136</v>
      </c>
      <c r="H25" s="30"/>
    </row>
    <row r="26" spans="1:8" x14ac:dyDescent="0.25">
      <c r="A26" s="35" t="s">
        <v>807</v>
      </c>
      <c r="B26" s="12" t="s">
        <v>854</v>
      </c>
      <c r="C26" s="12" t="s">
        <v>855</v>
      </c>
      <c r="D26" s="12" t="s">
        <v>856</v>
      </c>
      <c r="E26" s="12" t="s">
        <v>1378</v>
      </c>
      <c r="F26" s="2" t="s">
        <v>859</v>
      </c>
      <c r="G26" s="36" t="s">
        <v>136</v>
      </c>
      <c r="H26" s="30"/>
    </row>
    <row r="27" spans="1:8" x14ac:dyDescent="0.25">
      <c r="A27" s="35" t="s">
        <v>807</v>
      </c>
      <c r="B27" s="12" t="s">
        <v>854</v>
      </c>
      <c r="C27" s="12" t="s">
        <v>855</v>
      </c>
      <c r="D27" s="12" t="s">
        <v>856</v>
      </c>
      <c r="E27" s="12" t="s">
        <v>1377</v>
      </c>
      <c r="F27" s="2" t="s">
        <v>860</v>
      </c>
      <c r="G27" s="36" t="s">
        <v>136</v>
      </c>
      <c r="H27" s="30"/>
    </row>
    <row r="28" spans="1:8" x14ac:dyDescent="0.25">
      <c r="A28" s="35" t="s">
        <v>807</v>
      </c>
      <c r="B28" s="12" t="s">
        <v>854</v>
      </c>
      <c r="C28" s="12" t="s">
        <v>855</v>
      </c>
      <c r="D28" s="12" t="s">
        <v>856</v>
      </c>
      <c r="E28" s="12" t="s">
        <v>1094</v>
      </c>
      <c r="F28" s="2" t="s">
        <v>861</v>
      </c>
      <c r="G28" s="36" t="s">
        <v>128</v>
      </c>
      <c r="H28" s="30"/>
    </row>
    <row r="29" spans="1:8" x14ac:dyDescent="0.25">
      <c r="A29" s="35" t="s">
        <v>807</v>
      </c>
      <c r="B29" s="12" t="s">
        <v>854</v>
      </c>
      <c r="C29" s="12" t="s">
        <v>855</v>
      </c>
      <c r="D29" s="12" t="s">
        <v>856</v>
      </c>
      <c r="E29" s="12" t="s">
        <v>1095</v>
      </c>
      <c r="F29" s="2" t="s">
        <v>861</v>
      </c>
      <c r="G29" s="36" t="s">
        <v>128</v>
      </c>
    </row>
    <row r="30" spans="1:8" x14ac:dyDescent="0.25">
      <c r="A30" s="35" t="s">
        <v>807</v>
      </c>
      <c r="B30" s="12" t="s">
        <v>854</v>
      </c>
      <c r="C30" s="12" t="s">
        <v>855</v>
      </c>
      <c r="D30" s="12" t="s">
        <v>856</v>
      </c>
      <c r="E30" s="12" t="s">
        <v>862</v>
      </c>
      <c r="F30" s="2" t="s">
        <v>863</v>
      </c>
      <c r="G30" s="36" t="s">
        <v>128</v>
      </c>
    </row>
    <row r="31" spans="1:8" x14ac:dyDescent="0.25">
      <c r="A31" s="35" t="s">
        <v>807</v>
      </c>
      <c r="B31" s="12" t="s">
        <v>854</v>
      </c>
      <c r="C31" s="12" t="s">
        <v>855</v>
      </c>
      <c r="D31" s="12" t="s">
        <v>864</v>
      </c>
      <c r="E31" s="12" t="s">
        <v>865</v>
      </c>
      <c r="F31" s="2" t="s">
        <v>866</v>
      </c>
      <c r="G31" s="36" t="s">
        <v>84</v>
      </c>
    </row>
    <row r="32" spans="1:8" x14ac:dyDescent="0.25">
      <c r="A32" s="35" t="s">
        <v>807</v>
      </c>
      <c r="B32" s="12" t="s">
        <v>854</v>
      </c>
      <c r="C32" s="12" t="s">
        <v>855</v>
      </c>
      <c r="D32" s="12" t="s">
        <v>864</v>
      </c>
      <c r="E32" s="12" t="s">
        <v>867</v>
      </c>
      <c r="F32" s="2" t="s">
        <v>868</v>
      </c>
      <c r="G32" s="36" t="s">
        <v>84</v>
      </c>
    </row>
    <row r="33" spans="1:7" x14ac:dyDescent="0.25">
      <c r="A33" s="35" t="s">
        <v>807</v>
      </c>
      <c r="B33" s="12" t="s">
        <v>854</v>
      </c>
      <c r="C33" s="12" t="s">
        <v>855</v>
      </c>
      <c r="D33" s="12" t="s">
        <v>864</v>
      </c>
      <c r="E33" s="12" t="s">
        <v>869</v>
      </c>
      <c r="F33" s="2" t="s">
        <v>870</v>
      </c>
      <c r="G33" s="36" t="s">
        <v>61</v>
      </c>
    </row>
    <row r="34" spans="1:7" x14ac:dyDescent="0.25">
      <c r="A34" s="35" t="s">
        <v>807</v>
      </c>
      <c r="B34" s="12" t="s">
        <v>854</v>
      </c>
      <c r="C34" s="12" t="s">
        <v>855</v>
      </c>
      <c r="D34" s="12" t="s">
        <v>864</v>
      </c>
      <c r="E34" s="12" t="s">
        <v>871</v>
      </c>
      <c r="F34" s="2" t="s">
        <v>872</v>
      </c>
      <c r="G34" s="36" t="s">
        <v>61</v>
      </c>
    </row>
    <row r="35" spans="1:7" x14ac:dyDescent="0.25">
      <c r="A35" s="35" t="s">
        <v>807</v>
      </c>
      <c r="B35" s="12" t="s">
        <v>854</v>
      </c>
      <c r="C35" s="12" t="s">
        <v>855</v>
      </c>
      <c r="D35" s="12" t="s">
        <v>864</v>
      </c>
      <c r="E35" s="12" t="s">
        <v>873</v>
      </c>
      <c r="F35" s="2" t="s">
        <v>874</v>
      </c>
      <c r="G35" s="36" t="s">
        <v>61</v>
      </c>
    </row>
    <row r="36" spans="1:7" x14ac:dyDescent="0.25">
      <c r="A36" s="35" t="s">
        <v>807</v>
      </c>
      <c r="B36" s="12" t="s">
        <v>854</v>
      </c>
      <c r="C36" s="12" t="s">
        <v>855</v>
      </c>
      <c r="D36" s="12" t="s">
        <v>864</v>
      </c>
      <c r="E36" s="12" t="s">
        <v>875</v>
      </c>
      <c r="F36" s="2" t="s">
        <v>876</v>
      </c>
      <c r="G36" s="36" t="s">
        <v>61</v>
      </c>
    </row>
    <row r="37" spans="1:7" x14ac:dyDescent="0.25">
      <c r="A37" s="35" t="s">
        <v>807</v>
      </c>
      <c r="B37" s="12" t="s">
        <v>854</v>
      </c>
      <c r="C37" s="12" t="s">
        <v>877</v>
      </c>
      <c r="D37" s="12" t="s">
        <v>856</v>
      </c>
      <c r="E37" s="12" t="s">
        <v>878</v>
      </c>
      <c r="F37" s="2" t="s">
        <v>879</v>
      </c>
      <c r="G37" s="36" t="s">
        <v>200</v>
      </c>
    </row>
    <row r="38" spans="1:7" x14ac:dyDescent="0.25">
      <c r="A38" s="35" t="s">
        <v>807</v>
      </c>
      <c r="B38" s="12" t="s">
        <v>854</v>
      </c>
      <c r="C38" s="12" t="s">
        <v>877</v>
      </c>
      <c r="D38" s="12" t="s">
        <v>856</v>
      </c>
      <c r="E38" s="12" t="s">
        <v>880</v>
      </c>
      <c r="F38" s="2" t="s">
        <v>881</v>
      </c>
      <c r="G38" s="36" t="s">
        <v>200</v>
      </c>
    </row>
    <row r="39" spans="1:7" x14ac:dyDescent="0.25">
      <c r="A39" s="35" t="s">
        <v>807</v>
      </c>
      <c r="B39" s="12" t="s">
        <v>854</v>
      </c>
      <c r="C39" s="12" t="s">
        <v>877</v>
      </c>
      <c r="D39" s="12" t="s">
        <v>856</v>
      </c>
      <c r="E39" s="12" t="s">
        <v>882</v>
      </c>
      <c r="F39" s="2" t="s">
        <v>883</v>
      </c>
      <c r="G39" s="36" t="s">
        <v>200</v>
      </c>
    </row>
    <row r="40" spans="1:7" x14ac:dyDescent="0.25">
      <c r="A40" s="35" t="s">
        <v>807</v>
      </c>
      <c r="B40" s="12" t="s">
        <v>854</v>
      </c>
      <c r="C40" s="12" t="s">
        <v>877</v>
      </c>
      <c r="D40" s="12" t="s">
        <v>884</v>
      </c>
      <c r="E40" s="12" t="s">
        <v>885</v>
      </c>
      <c r="F40" s="2" t="s">
        <v>886</v>
      </c>
      <c r="G40" s="36" t="s">
        <v>200</v>
      </c>
    </row>
    <row r="41" spans="1:7" x14ac:dyDescent="0.25">
      <c r="A41" s="35" t="s">
        <v>807</v>
      </c>
      <c r="B41" s="12" t="s">
        <v>854</v>
      </c>
      <c r="C41" s="12" t="s">
        <v>877</v>
      </c>
      <c r="D41" s="12" t="s">
        <v>884</v>
      </c>
      <c r="E41" s="12" t="s">
        <v>887</v>
      </c>
      <c r="F41" s="2" t="s">
        <v>888</v>
      </c>
      <c r="G41" s="36" t="s">
        <v>200</v>
      </c>
    </row>
    <row r="42" spans="1:7" x14ac:dyDescent="0.25">
      <c r="A42" s="35" t="s">
        <v>807</v>
      </c>
      <c r="B42" s="12" t="s">
        <v>854</v>
      </c>
      <c r="C42" s="12" t="s">
        <v>877</v>
      </c>
      <c r="D42" s="12" t="s">
        <v>884</v>
      </c>
      <c r="E42" s="12" t="s">
        <v>889</v>
      </c>
      <c r="F42" s="2" t="s">
        <v>890</v>
      </c>
      <c r="G42" s="36" t="s">
        <v>200</v>
      </c>
    </row>
    <row r="43" spans="1:7" x14ac:dyDescent="0.25">
      <c r="A43" s="35" t="s">
        <v>807</v>
      </c>
      <c r="B43" s="12" t="s">
        <v>854</v>
      </c>
      <c r="C43" s="12" t="s">
        <v>877</v>
      </c>
      <c r="D43" s="12" t="s">
        <v>884</v>
      </c>
      <c r="E43" s="12" t="s">
        <v>891</v>
      </c>
      <c r="F43" s="2" t="s">
        <v>892</v>
      </c>
      <c r="G43" s="36" t="s">
        <v>200</v>
      </c>
    </row>
    <row r="44" spans="1:7" x14ac:dyDescent="0.25">
      <c r="A44" s="35" t="s">
        <v>807</v>
      </c>
      <c r="B44" s="12" t="s">
        <v>854</v>
      </c>
      <c r="C44" s="12" t="s">
        <v>877</v>
      </c>
      <c r="D44" s="12" t="s">
        <v>864</v>
      </c>
      <c r="E44" s="12" t="s">
        <v>893</v>
      </c>
      <c r="F44" s="2" t="s">
        <v>894</v>
      </c>
      <c r="G44" s="36" t="s">
        <v>200</v>
      </c>
    </row>
    <row r="45" spans="1:7" x14ac:dyDescent="0.25">
      <c r="A45" s="35" t="s">
        <v>807</v>
      </c>
      <c r="B45" s="12" t="s">
        <v>854</v>
      </c>
      <c r="C45" s="12" t="s">
        <v>877</v>
      </c>
      <c r="D45" s="12" t="s">
        <v>864</v>
      </c>
      <c r="E45" s="12" t="s">
        <v>895</v>
      </c>
      <c r="F45" s="2" t="s">
        <v>896</v>
      </c>
      <c r="G45" s="36" t="s">
        <v>200</v>
      </c>
    </row>
    <row r="46" spans="1:7" x14ac:dyDescent="0.25">
      <c r="A46" s="35" t="s">
        <v>807</v>
      </c>
      <c r="B46" s="12" t="s">
        <v>854</v>
      </c>
      <c r="C46" s="12" t="s">
        <v>877</v>
      </c>
      <c r="D46" s="12" t="s">
        <v>864</v>
      </c>
      <c r="E46" s="12" t="s">
        <v>897</v>
      </c>
      <c r="F46" s="2" t="s">
        <v>898</v>
      </c>
      <c r="G46" s="36" t="s">
        <v>200</v>
      </c>
    </row>
    <row r="47" spans="1:7" x14ac:dyDescent="0.25">
      <c r="A47" s="35" t="s">
        <v>807</v>
      </c>
      <c r="B47" s="12" t="s">
        <v>854</v>
      </c>
      <c r="C47" s="12" t="s">
        <v>877</v>
      </c>
      <c r="D47" s="12" t="s">
        <v>864</v>
      </c>
      <c r="E47" s="12" t="s">
        <v>899</v>
      </c>
      <c r="F47" s="2" t="s">
        <v>900</v>
      </c>
      <c r="G47" s="36" t="s">
        <v>200</v>
      </c>
    </row>
    <row r="48" spans="1:7" x14ac:dyDescent="0.25">
      <c r="A48" s="35" t="s">
        <v>807</v>
      </c>
      <c r="B48" s="12" t="s">
        <v>854</v>
      </c>
      <c r="C48" s="12" t="s">
        <v>901</v>
      </c>
      <c r="D48" s="12" t="s">
        <v>856</v>
      </c>
      <c r="E48" s="12" t="s">
        <v>902</v>
      </c>
      <c r="F48" s="2" t="s">
        <v>903</v>
      </c>
      <c r="G48" s="36" t="s">
        <v>201</v>
      </c>
    </row>
    <row r="49" spans="1:7" x14ac:dyDescent="0.25">
      <c r="A49" s="35" t="s">
        <v>807</v>
      </c>
      <c r="B49" s="12" t="s">
        <v>854</v>
      </c>
      <c r="C49" s="12" t="s">
        <v>901</v>
      </c>
      <c r="D49" s="12" t="s">
        <v>856</v>
      </c>
      <c r="E49" s="12" t="s">
        <v>904</v>
      </c>
      <c r="F49" s="2" t="s">
        <v>905</v>
      </c>
      <c r="G49" s="36" t="s">
        <v>201</v>
      </c>
    </row>
    <row r="50" spans="1:7" x14ac:dyDescent="0.25">
      <c r="A50" s="35" t="s">
        <v>807</v>
      </c>
      <c r="B50" s="12" t="s">
        <v>854</v>
      </c>
      <c r="C50" s="12" t="s">
        <v>901</v>
      </c>
      <c r="D50" s="12" t="s">
        <v>856</v>
      </c>
      <c r="E50" s="12" t="s">
        <v>906</v>
      </c>
      <c r="F50" s="2" t="s">
        <v>907</v>
      </c>
      <c r="G50" s="36" t="s">
        <v>201</v>
      </c>
    </row>
    <row r="51" spans="1:7" x14ac:dyDescent="0.25">
      <c r="A51" s="35" t="s">
        <v>807</v>
      </c>
      <c r="B51" s="12" t="s">
        <v>854</v>
      </c>
      <c r="C51" s="12" t="s">
        <v>901</v>
      </c>
      <c r="D51" s="12" t="s">
        <v>884</v>
      </c>
      <c r="E51" s="12" t="s">
        <v>908</v>
      </c>
      <c r="F51" s="2" t="s">
        <v>909</v>
      </c>
      <c r="G51" s="36" t="s">
        <v>201</v>
      </c>
    </row>
    <row r="52" spans="1:7" x14ac:dyDescent="0.25">
      <c r="A52" s="35" t="s">
        <v>807</v>
      </c>
      <c r="B52" s="12" t="s">
        <v>854</v>
      </c>
      <c r="C52" s="12" t="s">
        <v>901</v>
      </c>
      <c r="D52" s="12" t="s">
        <v>884</v>
      </c>
      <c r="E52" s="12" t="s">
        <v>910</v>
      </c>
      <c r="F52" s="2">
        <v>247.2</v>
      </c>
      <c r="G52" s="36" t="s">
        <v>201</v>
      </c>
    </row>
    <row r="53" spans="1:7" x14ac:dyDescent="0.25">
      <c r="A53" s="35" t="s">
        <v>807</v>
      </c>
      <c r="B53" s="12" t="s">
        <v>854</v>
      </c>
      <c r="C53" s="12" t="s">
        <v>901</v>
      </c>
      <c r="D53" s="12" t="s">
        <v>864</v>
      </c>
      <c r="E53" s="12" t="s">
        <v>911</v>
      </c>
      <c r="F53" s="2">
        <v>251.2</v>
      </c>
      <c r="G53" s="36" t="s">
        <v>201</v>
      </c>
    </row>
    <row r="54" spans="1:7" x14ac:dyDescent="0.25">
      <c r="A54" s="35" t="s">
        <v>807</v>
      </c>
      <c r="B54" s="12" t="s">
        <v>854</v>
      </c>
      <c r="C54" s="12" t="s">
        <v>901</v>
      </c>
      <c r="D54" s="12" t="s">
        <v>864</v>
      </c>
      <c r="E54" s="12" t="s">
        <v>912</v>
      </c>
      <c r="F54" s="2" t="s">
        <v>913</v>
      </c>
      <c r="G54" s="36" t="s">
        <v>201</v>
      </c>
    </row>
    <row r="55" spans="1:7" x14ac:dyDescent="0.25">
      <c r="A55" s="35" t="s">
        <v>807</v>
      </c>
      <c r="B55" s="12" t="s">
        <v>914</v>
      </c>
      <c r="C55" s="12" t="s">
        <v>915</v>
      </c>
      <c r="D55" s="12" t="s">
        <v>916</v>
      </c>
      <c r="E55" s="12" t="s">
        <v>917</v>
      </c>
      <c r="F55" s="2" t="s">
        <v>918</v>
      </c>
      <c r="G55" s="36"/>
    </row>
    <row r="56" spans="1:7" x14ac:dyDescent="0.25">
      <c r="A56" s="35" t="s">
        <v>807</v>
      </c>
      <c r="B56" s="12" t="s">
        <v>914</v>
      </c>
      <c r="C56" s="12" t="s">
        <v>915</v>
      </c>
      <c r="D56" s="12" t="s">
        <v>916</v>
      </c>
      <c r="E56" s="12" t="s">
        <v>919</v>
      </c>
      <c r="F56" s="2" t="s">
        <v>920</v>
      </c>
      <c r="G56" s="36"/>
    </row>
    <row r="57" spans="1:7" x14ac:dyDescent="0.25">
      <c r="A57" s="35" t="s">
        <v>807</v>
      </c>
      <c r="B57" s="12" t="s">
        <v>914</v>
      </c>
      <c r="C57" s="12" t="s">
        <v>915</v>
      </c>
      <c r="D57" s="12" t="s">
        <v>921</v>
      </c>
      <c r="E57" s="12" t="s">
        <v>922</v>
      </c>
      <c r="F57" s="2" t="s">
        <v>923</v>
      </c>
      <c r="G57" s="36"/>
    </row>
    <row r="58" spans="1:7" x14ac:dyDescent="0.25">
      <c r="A58" s="35" t="s">
        <v>807</v>
      </c>
      <c r="B58" s="12" t="s">
        <v>914</v>
      </c>
      <c r="C58" s="12" t="s">
        <v>915</v>
      </c>
      <c r="D58" s="12" t="s">
        <v>921</v>
      </c>
      <c r="E58" s="12" t="s">
        <v>924</v>
      </c>
      <c r="F58" s="2" t="s">
        <v>925</v>
      </c>
      <c r="G58" s="36"/>
    </row>
    <row r="59" spans="1:7" x14ac:dyDescent="0.25">
      <c r="A59" s="35" t="s">
        <v>807</v>
      </c>
      <c r="B59" s="12" t="s">
        <v>914</v>
      </c>
      <c r="C59" s="12" t="s">
        <v>915</v>
      </c>
      <c r="D59" s="12" t="s">
        <v>921</v>
      </c>
      <c r="E59" s="12" t="s">
        <v>926</v>
      </c>
      <c r="F59" s="2" t="s">
        <v>927</v>
      </c>
      <c r="G59" s="36"/>
    </row>
    <row r="60" spans="1:7" x14ac:dyDescent="0.25">
      <c r="A60" s="35" t="s">
        <v>807</v>
      </c>
      <c r="B60" s="12" t="s">
        <v>914</v>
      </c>
      <c r="C60" s="12" t="s">
        <v>915</v>
      </c>
      <c r="D60" s="12" t="s">
        <v>928</v>
      </c>
      <c r="E60" s="12" t="s">
        <v>929</v>
      </c>
      <c r="F60" s="2" t="s">
        <v>930</v>
      </c>
      <c r="G60" s="36"/>
    </row>
    <row r="61" spans="1:7" x14ac:dyDescent="0.25">
      <c r="A61" s="35" t="s">
        <v>807</v>
      </c>
      <c r="B61" s="12" t="s">
        <v>914</v>
      </c>
      <c r="C61" s="12" t="s">
        <v>915</v>
      </c>
      <c r="D61" s="12" t="s">
        <v>928</v>
      </c>
      <c r="E61" s="12" t="s">
        <v>931</v>
      </c>
      <c r="F61" s="2" t="s">
        <v>932</v>
      </c>
      <c r="G61" s="36"/>
    </row>
    <row r="62" spans="1:7" x14ac:dyDescent="0.25">
      <c r="A62" s="35" t="s">
        <v>807</v>
      </c>
      <c r="B62" s="12" t="s">
        <v>914</v>
      </c>
      <c r="C62" s="12" t="s">
        <v>915</v>
      </c>
      <c r="D62" s="12" t="s">
        <v>928</v>
      </c>
      <c r="E62" s="12" t="s">
        <v>933</v>
      </c>
      <c r="F62" s="2" t="s">
        <v>934</v>
      </c>
      <c r="G62" s="36"/>
    </row>
    <row r="63" spans="1:7" x14ac:dyDescent="0.25">
      <c r="A63" s="35" t="s">
        <v>807</v>
      </c>
      <c r="B63" s="12" t="s">
        <v>914</v>
      </c>
      <c r="C63" s="12" t="s">
        <v>915</v>
      </c>
      <c r="D63" s="12" t="s">
        <v>928</v>
      </c>
      <c r="E63" s="12" t="s">
        <v>935</v>
      </c>
      <c r="F63" s="2" t="s">
        <v>936</v>
      </c>
      <c r="G63" s="36"/>
    </row>
    <row r="64" spans="1:7" x14ac:dyDescent="0.25">
      <c r="A64" s="35" t="s">
        <v>807</v>
      </c>
      <c r="B64" s="12" t="s">
        <v>914</v>
      </c>
      <c r="C64" s="12" t="s">
        <v>937</v>
      </c>
      <c r="D64" s="12" t="s">
        <v>939</v>
      </c>
      <c r="E64" s="12" t="s">
        <v>940</v>
      </c>
      <c r="F64" s="2" t="s">
        <v>941</v>
      </c>
      <c r="G64" s="36"/>
    </row>
    <row r="65" spans="1:7" x14ac:dyDescent="0.25">
      <c r="A65" s="35" t="s">
        <v>807</v>
      </c>
      <c r="B65" s="12" t="s">
        <v>914</v>
      </c>
      <c r="C65" s="12" t="s">
        <v>938</v>
      </c>
      <c r="D65" s="12" t="s">
        <v>939</v>
      </c>
      <c r="E65" s="12" t="s">
        <v>942</v>
      </c>
      <c r="F65" s="2" t="s">
        <v>943</v>
      </c>
      <c r="G65" s="36"/>
    </row>
    <row r="66" spans="1:7" x14ac:dyDescent="0.25">
      <c r="A66" s="35" t="s">
        <v>807</v>
      </c>
      <c r="B66" s="12" t="s">
        <v>914</v>
      </c>
      <c r="C66" s="12" t="s">
        <v>938</v>
      </c>
      <c r="D66" s="12" t="s">
        <v>939</v>
      </c>
      <c r="E66" s="12" t="s">
        <v>944</v>
      </c>
      <c r="F66" s="2" t="s">
        <v>945</v>
      </c>
      <c r="G66" s="36"/>
    </row>
    <row r="67" spans="1:7" x14ac:dyDescent="0.25">
      <c r="A67" s="35" t="s">
        <v>807</v>
      </c>
      <c r="B67" s="12" t="s">
        <v>914</v>
      </c>
      <c r="C67" s="12" t="s">
        <v>938</v>
      </c>
      <c r="D67" s="12" t="s">
        <v>939</v>
      </c>
      <c r="E67" s="12" t="s">
        <v>946</v>
      </c>
      <c r="F67" s="2" t="s">
        <v>947</v>
      </c>
      <c r="G67" s="36"/>
    </row>
    <row r="68" spans="1:7" x14ac:dyDescent="0.25">
      <c r="A68" s="35" t="s">
        <v>807</v>
      </c>
      <c r="B68" s="12" t="s">
        <v>914</v>
      </c>
      <c r="C68" s="12" t="s">
        <v>938</v>
      </c>
      <c r="D68" s="12" t="s">
        <v>948</v>
      </c>
      <c r="E68" s="12" t="s">
        <v>949</v>
      </c>
      <c r="F68" s="2" t="s">
        <v>950</v>
      </c>
      <c r="G68" s="36"/>
    </row>
    <row r="69" spans="1:7" x14ac:dyDescent="0.25">
      <c r="A69" s="35" t="s">
        <v>807</v>
      </c>
      <c r="B69" s="12" t="s">
        <v>914</v>
      </c>
      <c r="C69" s="12" t="s">
        <v>938</v>
      </c>
      <c r="D69" s="12" t="s">
        <v>948</v>
      </c>
      <c r="E69" s="12" t="s">
        <v>951</v>
      </c>
      <c r="F69" s="2" t="s">
        <v>952</v>
      </c>
      <c r="G69" s="36"/>
    </row>
    <row r="70" spans="1:7" x14ac:dyDescent="0.25">
      <c r="A70" s="35" t="s">
        <v>807</v>
      </c>
      <c r="B70" s="12" t="s">
        <v>914</v>
      </c>
      <c r="C70" s="12" t="s">
        <v>938</v>
      </c>
      <c r="D70" s="12" t="s">
        <v>948</v>
      </c>
      <c r="E70" s="12" t="s">
        <v>953</v>
      </c>
      <c r="F70" s="2" t="s">
        <v>954</v>
      </c>
      <c r="G70" s="36"/>
    </row>
    <row r="71" spans="1:7" x14ac:dyDescent="0.25">
      <c r="A71" s="35" t="s">
        <v>807</v>
      </c>
      <c r="B71" s="12" t="s">
        <v>914</v>
      </c>
      <c r="C71" s="12" t="s">
        <v>955</v>
      </c>
      <c r="D71" s="12" t="s">
        <v>856</v>
      </c>
      <c r="E71" s="12" t="s">
        <v>956</v>
      </c>
      <c r="F71" s="2" t="s">
        <v>957</v>
      </c>
      <c r="G71" s="36"/>
    </row>
    <row r="72" spans="1:7" x14ac:dyDescent="0.25">
      <c r="A72" s="35" t="s">
        <v>807</v>
      </c>
      <c r="B72" s="12" t="s">
        <v>914</v>
      </c>
      <c r="C72" s="12" t="s">
        <v>955</v>
      </c>
      <c r="D72" s="12" t="s">
        <v>856</v>
      </c>
      <c r="E72" s="12" t="s">
        <v>958</v>
      </c>
      <c r="F72" s="2" t="s">
        <v>959</v>
      </c>
      <c r="G72" s="36"/>
    </row>
    <row r="73" spans="1:7" x14ac:dyDescent="0.25">
      <c r="A73" s="35" t="s">
        <v>807</v>
      </c>
      <c r="B73" s="12" t="s">
        <v>914</v>
      </c>
      <c r="C73" s="12" t="s">
        <v>955</v>
      </c>
      <c r="D73" s="12" t="s">
        <v>884</v>
      </c>
      <c r="E73" s="12" t="s">
        <v>960</v>
      </c>
      <c r="F73" s="2" t="s">
        <v>961</v>
      </c>
      <c r="G73" s="36"/>
    </row>
    <row r="74" spans="1:7" x14ac:dyDescent="0.25">
      <c r="A74" s="35" t="s">
        <v>807</v>
      </c>
      <c r="B74" s="12" t="s">
        <v>914</v>
      </c>
      <c r="C74" s="12" t="s">
        <v>955</v>
      </c>
      <c r="D74" s="12" t="s">
        <v>884</v>
      </c>
      <c r="E74" s="12" t="s">
        <v>962</v>
      </c>
      <c r="F74" s="2" t="s">
        <v>963</v>
      </c>
      <c r="G74" s="36"/>
    </row>
    <row r="75" spans="1:7" x14ac:dyDescent="0.25">
      <c r="A75" s="35" t="s">
        <v>807</v>
      </c>
      <c r="B75" s="12" t="s">
        <v>914</v>
      </c>
      <c r="C75" s="12" t="s">
        <v>955</v>
      </c>
      <c r="D75" s="12" t="s">
        <v>864</v>
      </c>
      <c r="E75" s="12" t="s">
        <v>964</v>
      </c>
      <c r="F75" s="2" t="s">
        <v>965</v>
      </c>
      <c r="G75" s="36"/>
    </row>
    <row r="76" spans="1:7" x14ac:dyDescent="0.25">
      <c r="A76" s="35" t="s">
        <v>807</v>
      </c>
      <c r="B76" s="12" t="s">
        <v>914</v>
      </c>
      <c r="C76" s="12" t="s">
        <v>955</v>
      </c>
      <c r="D76" s="12" t="s">
        <v>864</v>
      </c>
      <c r="E76" s="12" t="s">
        <v>966</v>
      </c>
      <c r="F76" s="2" t="s">
        <v>967</v>
      </c>
      <c r="G76" s="36"/>
    </row>
    <row r="77" spans="1:7" x14ac:dyDescent="0.25">
      <c r="A77" s="35" t="s">
        <v>807</v>
      </c>
      <c r="B77" s="12" t="s">
        <v>914</v>
      </c>
      <c r="C77" s="12" t="s">
        <v>955</v>
      </c>
      <c r="D77" s="12" t="s">
        <v>864</v>
      </c>
      <c r="E77" s="12" t="s">
        <v>968</v>
      </c>
      <c r="F77" s="2" t="s">
        <v>969</v>
      </c>
      <c r="G77" s="36"/>
    </row>
    <row r="78" spans="1:7" x14ac:dyDescent="0.25">
      <c r="A78" s="35" t="s">
        <v>807</v>
      </c>
      <c r="B78" s="12" t="s">
        <v>914</v>
      </c>
      <c r="C78" s="12" t="s">
        <v>970</v>
      </c>
      <c r="D78" s="12" t="s">
        <v>971</v>
      </c>
      <c r="E78" s="12"/>
      <c r="F78" s="2" t="s">
        <v>972</v>
      </c>
      <c r="G78" s="36"/>
    </row>
    <row r="79" spans="1:7" x14ac:dyDescent="0.25">
      <c r="A79" s="35" t="s">
        <v>807</v>
      </c>
      <c r="B79" s="12" t="s">
        <v>914</v>
      </c>
      <c r="C79" s="12" t="s">
        <v>970</v>
      </c>
      <c r="D79" s="12" t="s">
        <v>973</v>
      </c>
      <c r="E79" s="12" t="s">
        <v>974</v>
      </c>
      <c r="F79" s="2" t="s">
        <v>975</v>
      </c>
      <c r="G79" s="36"/>
    </row>
    <row r="80" spans="1:7" x14ac:dyDescent="0.25">
      <c r="A80" s="35" t="s">
        <v>807</v>
      </c>
      <c r="B80" s="12" t="s">
        <v>914</v>
      </c>
      <c r="C80" s="12" t="s">
        <v>970</v>
      </c>
      <c r="D80" s="12" t="s">
        <v>973</v>
      </c>
      <c r="E80" s="12" t="s">
        <v>976</v>
      </c>
      <c r="F80" s="2" t="s">
        <v>977</v>
      </c>
      <c r="G80" s="36"/>
    </row>
    <row r="81" spans="1:7" x14ac:dyDescent="0.25">
      <c r="A81" s="35" t="s">
        <v>807</v>
      </c>
      <c r="B81" s="12" t="s">
        <v>914</v>
      </c>
      <c r="C81" s="12" t="s">
        <v>970</v>
      </c>
      <c r="D81" s="12" t="s">
        <v>978</v>
      </c>
      <c r="E81" s="12" t="s">
        <v>979</v>
      </c>
      <c r="F81" s="2" t="s">
        <v>980</v>
      </c>
      <c r="G81" s="36"/>
    </row>
    <row r="82" spans="1:7" x14ac:dyDescent="0.25">
      <c r="A82" s="35" t="s">
        <v>807</v>
      </c>
      <c r="B82" s="12" t="s">
        <v>914</v>
      </c>
      <c r="C82" s="12" t="s">
        <v>970</v>
      </c>
      <c r="D82" s="12" t="s">
        <v>978</v>
      </c>
      <c r="E82" s="12" t="s">
        <v>981</v>
      </c>
      <c r="F82" s="2" t="s">
        <v>982</v>
      </c>
      <c r="G82" s="36"/>
    </row>
    <row r="83" spans="1:7" x14ac:dyDescent="0.25">
      <c r="A83" s="35" t="s">
        <v>807</v>
      </c>
      <c r="B83" s="12" t="s">
        <v>914</v>
      </c>
      <c r="C83" s="12" t="s">
        <v>970</v>
      </c>
      <c r="D83" s="12" t="s">
        <v>983</v>
      </c>
      <c r="E83" s="12" t="s">
        <v>984</v>
      </c>
      <c r="F83" s="2" t="s">
        <v>985</v>
      </c>
      <c r="G83" s="36"/>
    </row>
    <row r="84" spans="1:7" x14ac:dyDescent="0.25">
      <c r="A84" s="35" t="s">
        <v>807</v>
      </c>
      <c r="B84" s="12" t="s">
        <v>914</v>
      </c>
      <c r="C84" s="12" t="s">
        <v>970</v>
      </c>
      <c r="D84" s="12" t="s">
        <v>983</v>
      </c>
      <c r="E84" s="12" t="s">
        <v>986</v>
      </c>
      <c r="F84" s="2" t="s">
        <v>987</v>
      </c>
      <c r="G84" s="36"/>
    </row>
    <row r="85" spans="1:7" x14ac:dyDescent="0.25">
      <c r="A85" s="35" t="s">
        <v>807</v>
      </c>
      <c r="B85" s="12" t="s">
        <v>914</v>
      </c>
      <c r="C85" s="12" t="s">
        <v>970</v>
      </c>
      <c r="D85" s="12" t="s">
        <v>983</v>
      </c>
      <c r="E85" s="12" t="s">
        <v>988</v>
      </c>
      <c r="F85" s="2" t="s">
        <v>989</v>
      </c>
      <c r="G85" s="36"/>
    </row>
    <row r="86" spans="1:7" x14ac:dyDescent="0.25">
      <c r="A86" s="35" t="s">
        <v>807</v>
      </c>
      <c r="B86" s="12" t="s">
        <v>914</v>
      </c>
      <c r="C86" s="12" t="s">
        <v>990</v>
      </c>
      <c r="D86" s="12" t="s">
        <v>856</v>
      </c>
      <c r="E86" s="12" t="s">
        <v>991</v>
      </c>
      <c r="F86" s="2" t="s">
        <v>992</v>
      </c>
      <c r="G86" s="36"/>
    </row>
    <row r="87" spans="1:7" x14ac:dyDescent="0.25">
      <c r="A87" s="35" t="s">
        <v>807</v>
      </c>
      <c r="B87" s="12" t="s">
        <v>914</v>
      </c>
      <c r="C87" s="12" t="s">
        <v>990</v>
      </c>
      <c r="D87" s="12" t="s">
        <v>856</v>
      </c>
      <c r="E87" s="12" t="s">
        <v>993</v>
      </c>
      <c r="F87" s="2" t="s">
        <v>994</v>
      </c>
      <c r="G87" s="36"/>
    </row>
    <row r="88" spans="1:7" x14ac:dyDescent="0.25">
      <c r="A88" s="35" t="s">
        <v>807</v>
      </c>
      <c r="B88" s="12" t="s">
        <v>914</v>
      </c>
      <c r="C88" s="12" t="s">
        <v>990</v>
      </c>
      <c r="D88" s="12" t="s">
        <v>856</v>
      </c>
      <c r="E88" s="12" t="s">
        <v>995</v>
      </c>
      <c r="F88" s="2" t="s">
        <v>996</v>
      </c>
      <c r="G88" s="36"/>
    </row>
    <row r="89" spans="1:7" x14ac:dyDescent="0.25">
      <c r="A89" s="35" t="s">
        <v>807</v>
      </c>
      <c r="B89" s="12" t="s">
        <v>914</v>
      </c>
      <c r="C89" s="12" t="s">
        <v>990</v>
      </c>
      <c r="D89" s="12" t="s">
        <v>884</v>
      </c>
      <c r="E89" s="12" t="s">
        <v>997</v>
      </c>
      <c r="F89" s="2" t="s">
        <v>998</v>
      </c>
      <c r="G89" s="36"/>
    </row>
    <row r="90" spans="1:7" x14ac:dyDescent="0.25">
      <c r="A90" s="35" t="s">
        <v>807</v>
      </c>
      <c r="B90" s="12" t="s">
        <v>914</v>
      </c>
      <c r="C90" s="12" t="s">
        <v>990</v>
      </c>
      <c r="D90" s="12" t="s">
        <v>884</v>
      </c>
      <c r="E90" s="12" t="s">
        <v>999</v>
      </c>
      <c r="F90" s="2" t="s">
        <v>1000</v>
      </c>
      <c r="G90" s="36"/>
    </row>
    <row r="91" spans="1:7" x14ac:dyDescent="0.25">
      <c r="A91" s="35" t="s">
        <v>807</v>
      </c>
      <c r="B91" s="12" t="s">
        <v>914</v>
      </c>
      <c r="C91" s="12" t="s">
        <v>990</v>
      </c>
      <c r="D91" s="12" t="s">
        <v>864</v>
      </c>
      <c r="E91" s="12" t="s">
        <v>1001</v>
      </c>
      <c r="F91" s="2" t="s">
        <v>1003</v>
      </c>
      <c r="G91" s="36"/>
    </row>
    <row r="92" spans="1:7" x14ac:dyDescent="0.25">
      <c r="A92" s="35" t="s">
        <v>807</v>
      </c>
      <c r="B92" s="12" t="s">
        <v>914</v>
      </c>
      <c r="C92" s="12" t="s">
        <v>990</v>
      </c>
      <c r="D92" s="12" t="s">
        <v>864</v>
      </c>
      <c r="E92" s="12" t="s">
        <v>1002</v>
      </c>
      <c r="F92" s="2"/>
      <c r="G92" s="36"/>
    </row>
    <row r="93" spans="1:7" x14ac:dyDescent="0.25">
      <c r="A93" s="35" t="s">
        <v>807</v>
      </c>
      <c r="B93" s="12" t="s">
        <v>914</v>
      </c>
      <c r="C93" s="12" t="s">
        <v>990</v>
      </c>
      <c r="D93" s="12" t="s">
        <v>864</v>
      </c>
      <c r="E93" s="12" t="s">
        <v>1004</v>
      </c>
      <c r="F93" s="2" t="s">
        <v>1005</v>
      </c>
      <c r="G93" s="36"/>
    </row>
    <row r="94" spans="1:7" x14ac:dyDescent="0.25">
      <c r="A94" s="35" t="s">
        <v>807</v>
      </c>
      <c r="B94" s="12" t="s">
        <v>914</v>
      </c>
      <c r="C94" s="12" t="s">
        <v>1006</v>
      </c>
      <c r="D94" s="12" t="s">
        <v>1007</v>
      </c>
      <c r="E94" s="12" t="s">
        <v>1008</v>
      </c>
      <c r="F94" s="2" t="s">
        <v>1009</v>
      </c>
      <c r="G94" s="36"/>
    </row>
    <row r="95" spans="1:7" x14ac:dyDescent="0.25">
      <c r="A95" s="35" t="s">
        <v>807</v>
      </c>
      <c r="B95" s="12" t="s">
        <v>914</v>
      </c>
      <c r="C95" s="12" t="s">
        <v>1006</v>
      </c>
      <c r="D95" s="12" t="s">
        <v>1007</v>
      </c>
      <c r="E95" s="12" t="s">
        <v>1010</v>
      </c>
      <c r="F95" s="2" t="s">
        <v>1011</v>
      </c>
      <c r="G95" s="36"/>
    </row>
    <row r="96" spans="1:7" x14ac:dyDescent="0.25">
      <c r="A96" s="35" t="s">
        <v>807</v>
      </c>
      <c r="B96" s="12" t="s">
        <v>914</v>
      </c>
      <c r="C96" s="12" t="s">
        <v>1006</v>
      </c>
      <c r="D96" s="12" t="s">
        <v>1007</v>
      </c>
      <c r="E96" s="12" t="s">
        <v>1012</v>
      </c>
      <c r="F96" s="2" t="s">
        <v>1013</v>
      </c>
      <c r="G96" s="36"/>
    </row>
    <row r="97" spans="1:7" x14ac:dyDescent="0.25">
      <c r="A97" s="35" t="s">
        <v>807</v>
      </c>
      <c r="B97" s="12" t="s">
        <v>914</v>
      </c>
      <c r="C97" s="12" t="s">
        <v>1006</v>
      </c>
      <c r="D97" s="12" t="s">
        <v>1014</v>
      </c>
      <c r="E97" s="12" t="s">
        <v>1015</v>
      </c>
      <c r="F97" s="2" t="s">
        <v>1016</v>
      </c>
      <c r="G97" s="36"/>
    </row>
    <row r="98" spans="1:7" x14ac:dyDescent="0.25">
      <c r="A98" s="35" t="s">
        <v>1077</v>
      </c>
      <c r="B98" s="12" t="s">
        <v>914</v>
      </c>
      <c r="C98" s="12" t="s">
        <v>1006</v>
      </c>
      <c r="D98" s="12" t="s">
        <v>1014</v>
      </c>
      <c r="E98" s="12" t="s">
        <v>1017</v>
      </c>
      <c r="F98" s="2" t="s">
        <v>1018</v>
      </c>
      <c r="G98" s="36"/>
    </row>
    <row r="99" spans="1:7" x14ac:dyDescent="0.25">
      <c r="A99" s="35" t="s">
        <v>1077</v>
      </c>
      <c r="B99" s="12" t="s">
        <v>914</v>
      </c>
      <c r="C99" s="12" t="s">
        <v>1006</v>
      </c>
      <c r="D99" s="12" t="s">
        <v>1014</v>
      </c>
      <c r="E99" s="12" t="s">
        <v>1019</v>
      </c>
      <c r="F99" s="2" t="s">
        <v>1020</v>
      </c>
      <c r="G99" s="36"/>
    </row>
    <row r="100" spans="1:7" x14ac:dyDescent="0.25">
      <c r="A100" s="35" t="s">
        <v>1077</v>
      </c>
      <c r="B100" s="12" t="s">
        <v>914</v>
      </c>
      <c r="C100" s="12" t="s">
        <v>1006</v>
      </c>
      <c r="D100" s="12" t="s">
        <v>1021</v>
      </c>
      <c r="E100" s="12" t="s">
        <v>1022</v>
      </c>
      <c r="F100" s="2" t="s">
        <v>1023</v>
      </c>
      <c r="G100" s="36"/>
    </row>
    <row r="101" spans="1:7" x14ac:dyDescent="0.25">
      <c r="A101" s="35" t="s">
        <v>1077</v>
      </c>
      <c r="B101" s="12" t="s">
        <v>914</v>
      </c>
      <c r="C101" s="12" t="s">
        <v>1006</v>
      </c>
      <c r="D101" s="12" t="s">
        <v>1021</v>
      </c>
      <c r="E101" s="12" t="s">
        <v>1024</v>
      </c>
      <c r="F101" s="2" t="s">
        <v>1025</v>
      </c>
      <c r="G101" s="36"/>
    </row>
    <row r="102" spans="1:7" x14ac:dyDescent="0.25">
      <c r="A102" s="35" t="s">
        <v>1077</v>
      </c>
      <c r="B102" s="12" t="s">
        <v>914</v>
      </c>
      <c r="C102" s="12" t="s">
        <v>1006</v>
      </c>
      <c r="D102" s="12" t="s">
        <v>1026</v>
      </c>
      <c r="E102" s="12" t="s">
        <v>1027</v>
      </c>
      <c r="F102" s="2" t="s">
        <v>1028</v>
      </c>
      <c r="G102" s="36"/>
    </row>
    <row r="103" spans="1:7" x14ac:dyDescent="0.25">
      <c r="A103" s="35" t="s">
        <v>1077</v>
      </c>
      <c r="B103" s="12" t="s">
        <v>914</v>
      </c>
      <c r="C103" s="12" t="s">
        <v>1006</v>
      </c>
      <c r="D103" s="12" t="s">
        <v>1026</v>
      </c>
      <c r="E103" s="12" t="s">
        <v>1029</v>
      </c>
      <c r="F103" s="2" t="s">
        <v>1030</v>
      </c>
      <c r="G103" s="36"/>
    </row>
    <row r="104" spans="1:7" x14ac:dyDescent="0.25">
      <c r="A104" s="35" t="s">
        <v>1077</v>
      </c>
      <c r="B104" s="12" t="s">
        <v>1080</v>
      </c>
      <c r="C104" s="12" t="s">
        <v>1031</v>
      </c>
      <c r="D104" s="12" t="s">
        <v>1032</v>
      </c>
      <c r="E104" s="12"/>
      <c r="F104" s="2" t="s">
        <v>1033</v>
      </c>
      <c r="G104" s="36"/>
    </row>
    <row r="105" spans="1:7" x14ac:dyDescent="0.25">
      <c r="A105" s="35" t="s">
        <v>1077</v>
      </c>
      <c r="B105" s="12" t="s">
        <v>1080</v>
      </c>
      <c r="C105" s="12" t="s">
        <v>1034</v>
      </c>
      <c r="D105" s="12" t="s">
        <v>1035</v>
      </c>
      <c r="E105" s="12"/>
      <c r="F105" s="2" t="s">
        <v>1036</v>
      </c>
      <c r="G105" s="36"/>
    </row>
    <row r="106" spans="1:7" x14ac:dyDescent="0.25">
      <c r="A106" s="35" t="s">
        <v>1077</v>
      </c>
      <c r="B106" s="12" t="s">
        <v>1080</v>
      </c>
      <c r="C106" s="12" t="s">
        <v>1037</v>
      </c>
      <c r="D106" s="12" t="s">
        <v>1038</v>
      </c>
      <c r="E106" s="12"/>
      <c r="F106" s="2" t="s">
        <v>1039</v>
      </c>
      <c r="G106" s="36"/>
    </row>
    <row r="107" spans="1:7" x14ac:dyDescent="0.25">
      <c r="A107" s="35" t="s">
        <v>1077</v>
      </c>
      <c r="B107" s="12" t="s">
        <v>1081</v>
      </c>
      <c r="C107" s="12" t="s">
        <v>1040</v>
      </c>
      <c r="D107" s="12" t="s">
        <v>1041</v>
      </c>
      <c r="E107" s="12"/>
      <c r="F107" s="2" t="s">
        <v>1042</v>
      </c>
      <c r="G107" s="36"/>
    </row>
    <row r="108" spans="1:7" x14ac:dyDescent="0.25">
      <c r="A108" s="35" t="s">
        <v>1078</v>
      </c>
      <c r="B108" s="12" t="s">
        <v>1081</v>
      </c>
      <c r="C108" s="12" t="s">
        <v>1043</v>
      </c>
      <c r="D108" s="12" t="s">
        <v>1044</v>
      </c>
      <c r="E108" s="12"/>
      <c r="F108" s="2" t="s">
        <v>1045</v>
      </c>
      <c r="G108" s="36"/>
    </row>
    <row r="109" spans="1:7" x14ac:dyDescent="0.25">
      <c r="A109" s="35" t="s">
        <v>1078</v>
      </c>
      <c r="B109" s="12" t="s">
        <v>1081</v>
      </c>
      <c r="C109" s="12" t="s">
        <v>1046</v>
      </c>
      <c r="D109" s="12" t="s">
        <v>1047</v>
      </c>
      <c r="E109" s="12"/>
      <c r="F109" s="2" t="s">
        <v>1048</v>
      </c>
      <c r="G109" s="36"/>
    </row>
    <row r="110" spans="1:7" x14ac:dyDescent="0.25">
      <c r="A110" s="35" t="s">
        <v>1078</v>
      </c>
      <c r="B110" s="12" t="s">
        <v>1082</v>
      </c>
      <c r="C110" s="12" t="s">
        <v>1049</v>
      </c>
      <c r="D110" s="12" t="s">
        <v>1050</v>
      </c>
      <c r="E110" s="12"/>
      <c r="F110" s="2" t="s">
        <v>1051</v>
      </c>
      <c r="G110" s="36"/>
    </row>
    <row r="111" spans="1:7" x14ac:dyDescent="0.25">
      <c r="A111" s="35" t="s">
        <v>1078</v>
      </c>
      <c r="B111" s="12" t="s">
        <v>1082</v>
      </c>
      <c r="C111" s="12" t="s">
        <v>1052</v>
      </c>
      <c r="D111" s="12" t="s">
        <v>1053</v>
      </c>
      <c r="E111" s="12"/>
      <c r="F111" s="2" t="s">
        <v>1054</v>
      </c>
      <c r="G111" s="36"/>
    </row>
    <row r="112" spans="1:7" x14ac:dyDescent="0.25">
      <c r="A112" s="35" t="s">
        <v>1079</v>
      </c>
      <c r="B112" s="12" t="s">
        <v>1082</v>
      </c>
      <c r="C112" s="12" t="s">
        <v>1055</v>
      </c>
      <c r="D112" s="12" t="s">
        <v>1056</v>
      </c>
      <c r="E112" s="12"/>
      <c r="F112" s="2" t="s">
        <v>1057</v>
      </c>
      <c r="G112" s="36"/>
    </row>
    <row r="113" spans="1:7" x14ac:dyDescent="0.25">
      <c r="A113" s="35" t="s">
        <v>1079</v>
      </c>
      <c r="B113" s="12" t="s">
        <v>1082</v>
      </c>
      <c r="C113" s="12" t="s">
        <v>1058</v>
      </c>
      <c r="D113" s="12" t="s">
        <v>1059</v>
      </c>
      <c r="E113" s="12"/>
      <c r="F113" s="2" t="s">
        <v>1060</v>
      </c>
      <c r="G113" s="36"/>
    </row>
    <row r="114" spans="1:7" x14ac:dyDescent="0.25">
      <c r="A114" s="35" t="s">
        <v>1079</v>
      </c>
      <c r="B114" s="12" t="s">
        <v>1083</v>
      </c>
      <c r="C114" s="12" t="s">
        <v>1061</v>
      </c>
      <c r="D114" s="12" t="s">
        <v>1059</v>
      </c>
      <c r="E114" s="12"/>
      <c r="F114" s="2" t="s">
        <v>1062</v>
      </c>
      <c r="G114" s="36"/>
    </row>
    <row r="115" spans="1:7" x14ac:dyDescent="0.25">
      <c r="A115" s="35" t="s">
        <v>1079</v>
      </c>
      <c r="B115" s="12" t="s">
        <v>1084</v>
      </c>
      <c r="C115" s="12" t="s">
        <v>1063</v>
      </c>
      <c r="D115" s="12" t="s">
        <v>1059</v>
      </c>
      <c r="E115" s="12"/>
      <c r="F115" s="2" t="s">
        <v>1064</v>
      </c>
      <c r="G115" s="36"/>
    </row>
    <row r="116" spans="1:7" x14ac:dyDescent="0.25">
      <c r="A116" s="35"/>
      <c r="B116" s="12" t="s">
        <v>1085</v>
      </c>
      <c r="C116" s="12" t="s">
        <v>1065</v>
      </c>
      <c r="D116" s="12" t="s">
        <v>1059</v>
      </c>
      <c r="E116" s="12"/>
      <c r="F116" s="2" t="s">
        <v>1066</v>
      </c>
      <c r="G116" s="36"/>
    </row>
    <row r="117" spans="1:7" x14ac:dyDescent="0.25">
      <c r="A117" s="35"/>
      <c r="B117" s="12" t="s">
        <v>1086</v>
      </c>
      <c r="C117" s="12" t="s">
        <v>1067</v>
      </c>
      <c r="D117" s="12" t="s">
        <v>1059</v>
      </c>
      <c r="E117" s="12"/>
      <c r="F117" s="2" t="s">
        <v>1068</v>
      </c>
      <c r="G117" s="36"/>
    </row>
    <row r="118" spans="1:7" x14ac:dyDescent="0.25">
      <c r="A118" s="35"/>
      <c r="B118" s="12" t="s">
        <v>1087</v>
      </c>
      <c r="C118" s="12" t="s">
        <v>1069</v>
      </c>
      <c r="D118" s="12" t="s">
        <v>1059</v>
      </c>
      <c r="E118" s="12"/>
      <c r="F118" s="2" t="s">
        <v>1070</v>
      </c>
      <c r="G118" s="36"/>
    </row>
    <row r="119" spans="1:7" x14ac:dyDescent="0.25">
      <c r="A119" s="35"/>
      <c r="B119" s="12" t="s">
        <v>1088</v>
      </c>
      <c r="C119" s="12" t="s">
        <v>1071</v>
      </c>
      <c r="D119" s="12" t="s">
        <v>1059</v>
      </c>
      <c r="E119" s="12"/>
      <c r="F119" s="2" t="s">
        <v>1072</v>
      </c>
      <c r="G119" s="36"/>
    </row>
    <row r="120" spans="1:7" x14ac:dyDescent="0.25">
      <c r="A120" s="35"/>
      <c r="B120" s="12" t="s">
        <v>1089</v>
      </c>
      <c r="C120" s="12" t="s">
        <v>1073</v>
      </c>
      <c r="D120" s="12" t="s">
        <v>1059</v>
      </c>
      <c r="E120" s="12"/>
      <c r="F120" s="2" t="s">
        <v>1074</v>
      </c>
      <c r="G120" s="36"/>
    </row>
    <row r="121" spans="1:7" ht="15.75" thickBot="1" x14ac:dyDescent="0.3">
      <c r="A121" s="37"/>
      <c r="B121" s="38" t="s">
        <v>1090</v>
      </c>
      <c r="C121" s="38" t="s">
        <v>1075</v>
      </c>
      <c r="D121" s="38" t="s">
        <v>1059</v>
      </c>
      <c r="E121" s="38"/>
      <c r="F121" s="27">
        <v>4600</v>
      </c>
      <c r="G121" s="39"/>
    </row>
    <row r="170" spans="13:13" x14ac:dyDescent="0.25">
      <c r="M170" s="43" t="s">
        <v>136</v>
      </c>
    </row>
    <row r="172" spans="13:13" x14ac:dyDescent="0.25">
      <c r="M172" s="43" t="s">
        <v>491</v>
      </c>
    </row>
    <row r="173" spans="13:13" x14ac:dyDescent="0.25">
      <c r="M173" s="43" t="s">
        <v>140</v>
      </c>
    </row>
    <row r="174" spans="13:13" x14ac:dyDescent="0.25">
      <c r="M174" s="43" t="s">
        <v>140</v>
      </c>
    </row>
    <row r="175" spans="13:13" x14ac:dyDescent="0.25">
      <c r="M175" s="43" t="s">
        <v>140</v>
      </c>
    </row>
    <row r="176" spans="13:13" x14ac:dyDescent="0.25">
      <c r="M176" s="43" t="s">
        <v>140</v>
      </c>
    </row>
    <row r="177" spans="13:13" x14ac:dyDescent="0.25">
      <c r="M177" s="43" t="s">
        <v>140</v>
      </c>
    </row>
    <row r="178" spans="13:13" x14ac:dyDescent="0.25">
      <c r="M178" s="43" t="s">
        <v>136</v>
      </c>
    </row>
    <row r="179" spans="13:13" x14ac:dyDescent="0.25">
      <c r="M179" s="43" t="s">
        <v>136</v>
      </c>
    </row>
    <row r="180" spans="13:13" x14ac:dyDescent="0.25">
      <c r="M180" s="43" t="s">
        <v>140</v>
      </c>
    </row>
    <row r="181" spans="13:13" x14ac:dyDescent="0.25">
      <c r="M181" s="43" t="s">
        <v>140</v>
      </c>
    </row>
    <row r="182" spans="13:13" x14ac:dyDescent="0.25">
      <c r="M182" s="43" t="s">
        <v>140</v>
      </c>
    </row>
    <row r="183" spans="13:13" x14ac:dyDescent="0.25">
      <c r="M183" s="43" t="s">
        <v>140</v>
      </c>
    </row>
    <row r="184" spans="13:13" x14ac:dyDescent="0.25">
      <c r="M184" s="43" t="s">
        <v>140</v>
      </c>
    </row>
    <row r="185" spans="13:13" x14ac:dyDescent="0.25">
      <c r="M185" s="43" t="s">
        <v>136</v>
      </c>
    </row>
    <row r="186" spans="13:13" x14ac:dyDescent="0.25">
      <c r="M186" s="43" t="s">
        <v>136</v>
      </c>
    </row>
    <row r="187" spans="13:13" x14ac:dyDescent="0.25">
      <c r="M187" s="43" t="s">
        <v>136</v>
      </c>
    </row>
    <row r="189" spans="13:13" x14ac:dyDescent="0.25">
      <c r="M189" s="43" t="s">
        <v>128</v>
      </c>
    </row>
    <row r="190" spans="13:13" x14ac:dyDescent="0.25">
      <c r="M190" s="43" t="s">
        <v>128</v>
      </c>
    </row>
    <row r="192" spans="13:13" x14ac:dyDescent="0.25">
      <c r="M192" s="43" t="s">
        <v>490</v>
      </c>
    </row>
    <row r="194" spans="13:13" x14ac:dyDescent="0.25">
      <c r="M194" s="43" t="s">
        <v>490</v>
      </c>
    </row>
    <row r="195" spans="13:13" x14ac:dyDescent="0.25">
      <c r="M195" s="43" t="s">
        <v>140</v>
      </c>
    </row>
    <row r="200" spans="13:13" x14ac:dyDescent="0.25">
      <c r="M200" s="43" t="s">
        <v>140</v>
      </c>
    </row>
  </sheetData>
  <pageMargins left="0.7" right="0.7" top="0.75" bottom="0.75" header="0.3" footer="0.3"/>
  <pageSetup paperSize="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AgeToGroup.AgeToGroup">
                <anchor moveWithCells="1" sizeWithCells="1">
                  <from>
                    <xdr:col>13</xdr:col>
                    <xdr:colOff>152400</xdr:colOff>
                    <xdr:row>0</xdr:row>
                    <xdr:rowOff>76200</xdr:rowOff>
                  </from>
                  <to>
                    <xdr:col>14</xdr:col>
                    <xdr:colOff>514350</xdr:colOff>
                    <xdr:row>3</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12"/>
  <sheetViews>
    <sheetView workbookViewId="0">
      <selection activeCell="B1" sqref="B1:B1048576"/>
    </sheetView>
  </sheetViews>
  <sheetFormatPr defaultRowHeight="15" x14ac:dyDescent="0.25"/>
  <cols>
    <col min="1" max="1" width="9" style="28"/>
    <col min="2" max="2" width="138.42578125" style="28" bestFit="1" customWidth="1"/>
    <col min="3" max="3" width="9.42578125" style="28" bestFit="1" customWidth="1"/>
  </cols>
  <sheetData>
    <row r="1" spans="1:3" x14ac:dyDescent="0.25">
      <c r="A1" s="28" t="s">
        <v>1571</v>
      </c>
      <c r="B1" s="28" t="s">
        <v>1572</v>
      </c>
      <c r="C1" s="28" t="s">
        <v>1573</v>
      </c>
    </row>
    <row r="2" spans="1:3" x14ac:dyDescent="0.25">
      <c r="A2" s="28">
        <v>1035</v>
      </c>
      <c r="B2" s="28" t="s">
        <v>2074</v>
      </c>
      <c r="C2" s="28" t="s">
        <v>2075</v>
      </c>
    </row>
    <row r="3" spans="1:3" x14ac:dyDescent="0.25">
      <c r="A3" s="28">
        <v>1001</v>
      </c>
      <c r="B3" s="28" t="s">
        <v>2076</v>
      </c>
      <c r="C3" s="28" t="s">
        <v>2077</v>
      </c>
    </row>
    <row r="4" spans="1:3" x14ac:dyDescent="0.25">
      <c r="A4" s="28">
        <v>1003</v>
      </c>
      <c r="B4" s="28" t="s">
        <v>2078</v>
      </c>
      <c r="C4" s="28" t="s">
        <v>2079</v>
      </c>
    </row>
    <row r="5" spans="1:3" x14ac:dyDescent="0.25">
      <c r="A5" s="28">
        <v>1012</v>
      </c>
      <c r="B5" s="28" t="s">
        <v>2080</v>
      </c>
      <c r="C5" s="28" t="s">
        <v>2081</v>
      </c>
    </row>
    <row r="6" spans="1:3" x14ac:dyDescent="0.25">
      <c r="A6" s="28">
        <v>1080</v>
      </c>
      <c r="B6" s="28" t="s">
        <v>2082</v>
      </c>
      <c r="C6" s="28" t="s">
        <v>2083</v>
      </c>
    </row>
    <row r="7" spans="1:3" x14ac:dyDescent="0.25">
      <c r="A7" s="28">
        <v>1106</v>
      </c>
      <c r="B7" s="28" t="s">
        <v>2084</v>
      </c>
      <c r="C7" s="28" t="s">
        <v>2085</v>
      </c>
    </row>
    <row r="8" spans="1:3" x14ac:dyDescent="0.25">
      <c r="A8" s="28">
        <v>1034</v>
      </c>
      <c r="B8" s="28" t="s">
        <v>2086</v>
      </c>
      <c r="C8" s="28" t="s">
        <v>2087</v>
      </c>
    </row>
    <row r="9" spans="1:3" x14ac:dyDescent="0.25">
      <c r="A9" s="28">
        <v>1032</v>
      </c>
      <c r="B9" s="28" t="s">
        <v>2088</v>
      </c>
      <c r="C9" s="28" t="s">
        <v>2089</v>
      </c>
    </row>
    <row r="10" spans="1:3" x14ac:dyDescent="0.25">
      <c r="A10" s="28">
        <v>1037</v>
      </c>
      <c r="B10" s="28" t="s">
        <v>2090</v>
      </c>
      <c r="C10" s="28" t="s">
        <v>2091</v>
      </c>
    </row>
    <row r="11" spans="1:3" x14ac:dyDescent="0.25">
      <c r="A11" s="28">
        <v>1021</v>
      </c>
      <c r="B11" s="28" t="s">
        <v>2092</v>
      </c>
      <c r="C11" s="28" t="s">
        <v>2093</v>
      </c>
    </row>
    <row r="12" spans="1:3" x14ac:dyDescent="0.25">
      <c r="A12" s="28">
        <v>1038</v>
      </c>
      <c r="B12" s="28" t="s">
        <v>2094</v>
      </c>
      <c r="C12" s="28" t="s">
        <v>2095</v>
      </c>
    </row>
    <row r="13" spans="1:3" x14ac:dyDescent="0.25">
      <c r="A13" s="28">
        <v>1042</v>
      </c>
      <c r="B13" s="28" t="s">
        <v>2096</v>
      </c>
      <c r="C13" s="28" t="s">
        <v>2097</v>
      </c>
    </row>
    <row r="14" spans="1:3" x14ac:dyDescent="0.25">
      <c r="A14" s="28">
        <v>1041</v>
      </c>
      <c r="B14" s="28" t="s">
        <v>2098</v>
      </c>
      <c r="C14" s="28" t="s">
        <v>2099</v>
      </c>
    </row>
    <row r="15" spans="1:3" x14ac:dyDescent="0.25">
      <c r="A15" s="28">
        <v>1007</v>
      </c>
      <c r="B15" s="28" t="s">
        <v>2100</v>
      </c>
      <c r="C15" s="28" t="s">
        <v>2101</v>
      </c>
    </row>
    <row r="16" spans="1:3" x14ac:dyDescent="0.25">
      <c r="A16" s="28">
        <v>1008</v>
      </c>
      <c r="B16" s="28" t="s">
        <v>2102</v>
      </c>
      <c r="C16" s="28" t="s">
        <v>2103</v>
      </c>
    </row>
    <row r="17" spans="1:3" x14ac:dyDescent="0.25">
      <c r="A17" s="28">
        <v>1101</v>
      </c>
      <c r="B17" s="28" t="s">
        <v>2104</v>
      </c>
      <c r="C17" s="28" t="s">
        <v>2105</v>
      </c>
    </row>
    <row r="18" spans="1:3" x14ac:dyDescent="0.25">
      <c r="A18" s="28">
        <v>1033</v>
      </c>
      <c r="B18" s="28" t="s">
        <v>2106</v>
      </c>
      <c r="C18" s="28" t="s">
        <v>2107</v>
      </c>
    </row>
    <row r="19" spans="1:3" x14ac:dyDescent="0.25">
      <c r="A19" s="28">
        <v>1049</v>
      </c>
      <c r="B19" s="28" t="s">
        <v>2108</v>
      </c>
      <c r="C19" s="28" t="s">
        <v>2109</v>
      </c>
    </row>
    <row r="20" spans="1:3" x14ac:dyDescent="0.25">
      <c r="A20" s="28">
        <v>1048</v>
      </c>
      <c r="B20" s="28" t="s">
        <v>2110</v>
      </c>
      <c r="C20" s="28" t="s">
        <v>2111</v>
      </c>
    </row>
    <row r="21" spans="1:3" x14ac:dyDescent="0.25">
      <c r="A21" s="28">
        <v>1039</v>
      </c>
      <c r="B21" s="28" t="s">
        <v>2112</v>
      </c>
      <c r="C21" s="28" t="s">
        <v>2113</v>
      </c>
    </row>
    <row r="22" spans="1:3" x14ac:dyDescent="0.25">
      <c r="A22" s="28">
        <v>1014</v>
      </c>
      <c r="B22" s="28" t="s">
        <v>2114</v>
      </c>
      <c r="C22" s="28" t="s">
        <v>2115</v>
      </c>
    </row>
    <row r="23" spans="1:3" x14ac:dyDescent="0.25">
      <c r="A23" s="28">
        <v>1045</v>
      </c>
      <c r="B23" s="28" t="s">
        <v>2116</v>
      </c>
      <c r="C23" s="28" t="s">
        <v>2117</v>
      </c>
    </row>
    <row r="24" spans="1:3" x14ac:dyDescent="0.25">
      <c r="A24" s="28">
        <v>1046</v>
      </c>
      <c r="B24" s="28" t="s">
        <v>2118</v>
      </c>
      <c r="C24" s="28" t="s">
        <v>2119</v>
      </c>
    </row>
    <row r="25" spans="1:3" x14ac:dyDescent="0.25">
      <c r="A25" s="28">
        <v>1047</v>
      </c>
      <c r="B25" s="28" t="s">
        <v>2120</v>
      </c>
      <c r="C25" s="28" t="s">
        <v>2121</v>
      </c>
    </row>
    <row r="26" spans="1:3" x14ac:dyDescent="0.25">
      <c r="A26" s="28">
        <v>1050</v>
      </c>
      <c r="B26" s="28" t="s">
        <v>2122</v>
      </c>
      <c r="C26" s="28" t="s">
        <v>2123</v>
      </c>
    </row>
    <row r="27" spans="1:3" x14ac:dyDescent="0.25">
      <c r="A27" s="28">
        <v>1077</v>
      </c>
      <c r="B27" s="28" t="s">
        <v>2124</v>
      </c>
      <c r="C27" s="28" t="s">
        <v>2125</v>
      </c>
    </row>
    <row r="28" spans="1:3" x14ac:dyDescent="0.25">
      <c r="A28" s="28">
        <v>1023</v>
      </c>
      <c r="B28" s="28" t="s">
        <v>2126</v>
      </c>
      <c r="C28" s="28" t="s">
        <v>2127</v>
      </c>
    </row>
    <row r="29" spans="1:3" x14ac:dyDescent="0.25">
      <c r="A29" s="28">
        <v>1079</v>
      </c>
      <c r="B29" s="28" t="s">
        <v>2128</v>
      </c>
      <c r="C29" s="28" t="s">
        <v>2129</v>
      </c>
    </row>
    <row r="30" spans="1:3" x14ac:dyDescent="0.25">
      <c r="A30" s="28">
        <v>1028</v>
      </c>
      <c r="B30" s="28" t="s">
        <v>2130</v>
      </c>
      <c r="C30" s="28" t="s">
        <v>2131</v>
      </c>
    </row>
    <row r="31" spans="1:3" x14ac:dyDescent="0.25">
      <c r="A31" s="28">
        <v>1085</v>
      </c>
      <c r="B31" s="28" t="s">
        <v>2132</v>
      </c>
      <c r="C31" s="28" t="s">
        <v>2133</v>
      </c>
    </row>
    <row r="32" spans="1:3" x14ac:dyDescent="0.25">
      <c r="A32" s="28">
        <v>1004</v>
      </c>
      <c r="B32" s="28" t="s">
        <v>2134</v>
      </c>
      <c r="C32" s="28" t="s">
        <v>2135</v>
      </c>
    </row>
    <row r="33" spans="1:3" x14ac:dyDescent="0.25">
      <c r="A33" s="28">
        <v>1013</v>
      </c>
      <c r="B33" s="28" t="s">
        <v>2136</v>
      </c>
      <c r="C33" s="28" t="s">
        <v>2137</v>
      </c>
    </row>
    <row r="34" spans="1:3" x14ac:dyDescent="0.25">
      <c r="A34" s="28">
        <v>1020</v>
      </c>
      <c r="B34" s="28" t="s">
        <v>2138</v>
      </c>
      <c r="C34" s="28" t="s">
        <v>2139</v>
      </c>
    </row>
    <row r="35" spans="1:3" x14ac:dyDescent="0.25">
      <c r="A35" s="28">
        <v>1019</v>
      </c>
      <c r="B35" s="28" t="s">
        <v>2140</v>
      </c>
      <c r="C35" s="28" t="s">
        <v>2141</v>
      </c>
    </row>
    <row r="36" spans="1:3" x14ac:dyDescent="0.25">
      <c r="A36" s="28">
        <v>1026</v>
      </c>
      <c r="B36" s="28" t="s">
        <v>2142</v>
      </c>
      <c r="C36" s="28" t="s">
        <v>2143</v>
      </c>
    </row>
    <row r="37" spans="1:3" x14ac:dyDescent="0.25">
      <c r="A37" s="28">
        <v>1040</v>
      </c>
      <c r="B37" s="28" t="s">
        <v>2144</v>
      </c>
      <c r="C37" s="28" t="s">
        <v>2145</v>
      </c>
    </row>
    <row r="38" spans="1:3" x14ac:dyDescent="0.25">
      <c r="A38" s="28">
        <v>1010</v>
      </c>
      <c r="B38" s="28" t="s">
        <v>2146</v>
      </c>
      <c r="C38" s="28" t="s">
        <v>2147</v>
      </c>
    </row>
    <row r="39" spans="1:3" x14ac:dyDescent="0.25">
      <c r="A39" s="28">
        <v>1081</v>
      </c>
      <c r="B39" s="28" t="s">
        <v>2148</v>
      </c>
      <c r="C39" s="28" t="s">
        <v>2149</v>
      </c>
    </row>
    <row r="40" spans="1:3" x14ac:dyDescent="0.25">
      <c r="A40" s="28">
        <v>1029</v>
      </c>
      <c r="B40" s="28" t="s">
        <v>2150</v>
      </c>
      <c r="C40" s="28" t="s">
        <v>2151</v>
      </c>
    </row>
    <row r="41" spans="1:3" x14ac:dyDescent="0.25">
      <c r="A41" s="28">
        <v>1025</v>
      </c>
      <c r="B41" s="28" t="s">
        <v>2152</v>
      </c>
      <c r="C41" s="28" t="s">
        <v>2153</v>
      </c>
    </row>
    <row r="42" spans="1:3" x14ac:dyDescent="0.25">
      <c r="A42" s="28">
        <v>1076</v>
      </c>
      <c r="B42" s="28" t="s">
        <v>2154</v>
      </c>
      <c r="C42" s="28" t="s">
        <v>2155</v>
      </c>
    </row>
    <row r="43" spans="1:3" x14ac:dyDescent="0.25">
      <c r="A43" s="28">
        <v>1024</v>
      </c>
      <c r="B43" s="28" t="s">
        <v>2156</v>
      </c>
      <c r="C43" s="28" t="s">
        <v>2157</v>
      </c>
    </row>
    <row r="44" spans="1:3" x14ac:dyDescent="0.25">
      <c r="A44" s="28">
        <v>1018</v>
      </c>
      <c r="B44" s="28" t="s">
        <v>2158</v>
      </c>
      <c r="C44" s="28" t="s">
        <v>2159</v>
      </c>
    </row>
    <row r="45" spans="1:3" x14ac:dyDescent="0.25">
      <c r="A45" s="28">
        <v>1016</v>
      </c>
      <c r="B45" s="28" t="s">
        <v>2160</v>
      </c>
      <c r="C45" s="28" t="s">
        <v>2161</v>
      </c>
    </row>
    <row r="46" spans="1:3" x14ac:dyDescent="0.25">
      <c r="A46" s="28">
        <v>1078</v>
      </c>
      <c r="B46" s="28" t="s">
        <v>2162</v>
      </c>
      <c r="C46" s="28" t="s">
        <v>2163</v>
      </c>
    </row>
    <row r="47" spans="1:3" x14ac:dyDescent="0.25">
      <c r="A47" s="28">
        <v>1005</v>
      </c>
      <c r="B47" s="28" t="s">
        <v>2164</v>
      </c>
      <c r="C47" s="28" t="s">
        <v>2165</v>
      </c>
    </row>
    <row r="48" spans="1:3" x14ac:dyDescent="0.25">
      <c r="A48" s="28">
        <v>1002</v>
      </c>
      <c r="B48" s="28" t="s">
        <v>2166</v>
      </c>
      <c r="C48" s="28" t="s">
        <v>2167</v>
      </c>
    </row>
    <row r="49" spans="1:3" x14ac:dyDescent="0.25">
      <c r="A49" s="28">
        <v>1043</v>
      </c>
      <c r="B49" s="28" t="s">
        <v>2168</v>
      </c>
      <c r="C49" s="28" t="s">
        <v>2169</v>
      </c>
    </row>
    <row r="50" spans="1:3" x14ac:dyDescent="0.25">
      <c r="A50" s="28">
        <v>1006</v>
      </c>
      <c r="B50" s="28" t="s">
        <v>2170</v>
      </c>
      <c r="C50" s="28" t="s">
        <v>2171</v>
      </c>
    </row>
    <row r="51" spans="1:3" x14ac:dyDescent="0.25">
      <c r="A51" s="28">
        <v>1027</v>
      </c>
      <c r="B51" s="28" t="s">
        <v>2172</v>
      </c>
      <c r="C51" s="28" t="s">
        <v>2173</v>
      </c>
    </row>
    <row r="52" spans="1:3" x14ac:dyDescent="0.25">
      <c r="A52" s="28">
        <v>1198</v>
      </c>
      <c r="B52" s="28" t="s">
        <v>2118</v>
      </c>
      <c r="C52" s="28" t="s">
        <v>2119</v>
      </c>
    </row>
    <row r="53" spans="1:3" x14ac:dyDescent="0.25">
      <c r="A53" s="28">
        <v>1015</v>
      </c>
      <c r="B53" s="28" t="s">
        <v>2174</v>
      </c>
      <c r="C53" s="28" t="s">
        <v>2175</v>
      </c>
    </row>
    <row r="54" spans="1:3" x14ac:dyDescent="0.25">
      <c r="A54" s="28">
        <v>1051</v>
      </c>
      <c r="B54" s="28" t="s">
        <v>2176</v>
      </c>
      <c r="C54" s="28" t="s">
        <v>2177</v>
      </c>
    </row>
    <row r="55" spans="1:3" x14ac:dyDescent="0.25">
      <c r="A55" s="28">
        <v>1084</v>
      </c>
      <c r="B55" s="28" t="s">
        <v>2178</v>
      </c>
      <c r="C55" s="28" t="s">
        <v>2179</v>
      </c>
    </row>
    <row r="56" spans="1:3" x14ac:dyDescent="0.25">
      <c r="A56" s="28">
        <v>1075</v>
      </c>
      <c r="B56" s="28" t="s">
        <v>2180</v>
      </c>
      <c r="C56" s="28" t="s">
        <v>2181</v>
      </c>
    </row>
    <row r="57" spans="1:3" x14ac:dyDescent="0.25">
      <c r="A57" s="28">
        <v>1056</v>
      </c>
      <c r="B57" s="28" t="s">
        <v>2182</v>
      </c>
      <c r="C57" s="28" t="s">
        <v>2183</v>
      </c>
    </row>
    <row r="58" spans="1:3" x14ac:dyDescent="0.25">
      <c r="A58" s="28">
        <v>1058</v>
      </c>
      <c r="B58" s="28" t="s">
        <v>2184</v>
      </c>
      <c r="C58" s="28" t="s">
        <v>2185</v>
      </c>
    </row>
    <row r="59" spans="1:3" x14ac:dyDescent="0.25">
      <c r="A59" s="28">
        <v>1031</v>
      </c>
      <c r="B59" s="28" t="s">
        <v>2186</v>
      </c>
      <c r="C59" s="28" t="s">
        <v>2187</v>
      </c>
    </row>
    <row r="60" spans="1:3" x14ac:dyDescent="0.25">
      <c r="A60" s="28">
        <v>1022</v>
      </c>
      <c r="B60" s="28" t="s">
        <v>2188</v>
      </c>
      <c r="C60" s="28" t="s">
        <v>2189</v>
      </c>
    </row>
    <row r="61" spans="1:3" x14ac:dyDescent="0.25">
      <c r="A61" s="28">
        <v>1011</v>
      </c>
      <c r="B61" s="28" t="s">
        <v>2190</v>
      </c>
      <c r="C61" s="28" t="s">
        <v>2191</v>
      </c>
    </row>
    <row r="62" spans="1:3" x14ac:dyDescent="0.25">
      <c r="A62" s="28">
        <v>1156</v>
      </c>
      <c r="B62" s="28" t="s">
        <v>2192</v>
      </c>
      <c r="C62" s="28" t="s">
        <v>2193</v>
      </c>
    </row>
    <row r="63" spans="1:3" x14ac:dyDescent="0.25">
      <c r="A63" s="28">
        <v>1057</v>
      </c>
      <c r="B63" s="28" t="s">
        <v>2194</v>
      </c>
      <c r="C63" s="28" t="s">
        <v>2195</v>
      </c>
    </row>
    <row r="64" spans="1:3" x14ac:dyDescent="0.25">
      <c r="A64" s="28">
        <v>1061</v>
      </c>
      <c r="B64" s="28" t="s">
        <v>2196</v>
      </c>
      <c r="C64" s="28" t="s">
        <v>2197</v>
      </c>
    </row>
    <row r="65" spans="1:3" x14ac:dyDescent="0.25">
      <c r="A65" s="28">
        <v>1062</v>
      </c>
      <c r="B65" s="28" t="s">
        <v>2198</v>
      </c>
      <c r="C65" s="28" t="s">
        <v>2199</v>
      </c>
    </row>
    <row r="66" spans="1:3" x14ac:dyDescent="0.25">
      <c r="A66" s="28">
        <v>1063</v>
      </c>
      <c r="B66" s="28" t="s">
        <v>2200</v>
      </c>
      <c r="C66" s="28" t="s">
        <v>2201</v>
      </c>
    </row>
    <row r="67" spans="1:3" x14ac:dyDescent="0.25">
      <c r="A67" s="28">
        <v>1064</v>
      </c>
      <c r="B67" s="28" t="s">
        <v>2202</v>
      </c>
      <c r="C67" s="28" t="s">
        <v>2203</v>
      </c>
    </row>
    <row r="68" spans="1:3" x14ac:dyDescent="0.25">
      <c r="A68" s="28">
        <v>1069</v>
      </c>
      <c r="B68" s="28" t="s">
        <v>2204</v>
      </c>
      <c r="C68" s="28" t="s">
        <v>2205</v>
      </c>
    </row>
    <row r="69" spans="1:3" x14ac:dyDescent="0.25">
      <c r="A69" s="28">
        <v>1072</v>
      </c>
      <c r="B69" s="28" t="s">
        <v>2206</v>
      </c>
      <c r="C69" s="28" t="s">
        <v>2207</v>
      </c>
    </row>
    <row r="70" spans="1:3" x14ac:dyDescent="0.25">
      <c r="A70" s="28">
        <v>1090</v>
      </c>
      <c r="B70" s="28" t="s">
        <v>2208</v>
      </c>
      <c r="C70" s="28" t="s">
        <v>2209</v>
      </c>
    </row>
    <row r="71" spans="1:3" x14ac:dyDescent="0.25">
      <c r="A71" s="28">
        <v>1052</v>
      </c>
      <c r="B71" s="28" t="s">
        <v>2210</v>
      </c>
      <c r="C71" s="28" t="s">
        <v>2211</v>
      </c>
    </row>
    <row r="72" spans="1:3" x14ac:dyDescent="0.25">
      <c r="A72" s="28">
        <v>1083</v>
      </c>
      <c r="B72" s="28" t="s">
        <v>2212</v>
      </c>
      <c r="C72" s="28" t="s">
        <v>2213</v>
      </c>
    </row>
    <row r="73" spans="1:3" x14ac:dyDescent="0.25">
      <c r="A73" s="28">
        <v>1082</v>
      </c>
      <c r="B73" s="28" t="s">
        <v>2214</v>
      </c>
      <c r="C73" s="28" t="s">
        <v>2215</v>
      </c>
    </row>
    <row r="74" spans="1:3" x14ac:dyDescent="0.25">
      <c r="A74" s="28">
        <v>1009</v>
      </c>
      <c r="B74" s="28" t="s">
        <v>2216</v>
      </c>
      <c r="C74" s="28" t="s">
        <v>2217</v>
      </c>
    </row>
    <row r="75" spans="1:3" x14ac:dyDescent="0.25">
      <c r="A75" s="28">
        <v>1053</v>
      </c>
      <c r="B75" s="28" t="s">
        <v>2218</v>
      </c>
      <c r="C75" s="28" t="s">
        <v>2219</v>
      </c>
    </row>
    <row r="76" spans="1:3" x14ac:dyDescent="0.25">
      <c r="A76" s="28">
        <v>1017</v>
      </c>
      <c r="B76" s="28" t="s">
        <v>2220</v>
      </c>
      <c r="C76" s="28" t="s">
        <v>2221</v>
      </c>
    </row>
    <row r="77" spans="1:3" x14ac:dyDescent="0.25">
      <c r="A77" s="28">
        <v>1104</v>
      </c>
      <c r="B77" s="28" t="s">
        <v>2222</v>
      </c>
      <c r="C77" s="28" t="s">
        <v>2223</v>
      </c>
    </row>
    <row r="78" spans="1:3" x14ac:dyDescent="0.25">
      <c r="A78" s="28">
        <v>1060</v>
      </c>
      <c r="B78" s="28" t="s">
        <v>2224</v>
      </c>
      <c r="C78" s="28" t="s">
        <v>2225</v>
      </c>
    </row>
    <row r="79" spans="1:3" x14ac:dyDescent="0.25">
      <c r="A79" s="28">
        <v>1055</v>
      </c>
      <c r="B79" s="28" t="s">
        <v>2226</v>
      </c>
      <c r="C79" s="28" t="s">
        <v>2227</v>
      </c>
    </row>
    <row r="80" spans="1:3" x14ac:dyDescent="0.25">
      <c r="A80" s="28">
        <v>1154</v>
      </c>
      <c r="B80" s="28" t="s">
        <v>2228</v>
      </c>
      <c r="C80" s="28" t="s">
        <v>2229</v>
      </c>
    </row>
    <row r="81" spans="1:3" x14ac:dyDescent="0.25">
      <c r="A81" s="28">
        <v>1091</v>
      </c>
      <c r="B81" s="28" t="s">
        <v>2230</v>
      </c>
      <c r="C81" s="28" t="s">
        <v>2231</v>
      </c>
    </row>
    <row r="82" spans="1:3" x14ac:dyDescent="0.25">
      <c r="A82" s="28">
        <v>1118</v>
      </c>
      <c r="B82" s="28" t="s">
        <v>2232</v>
      </c>
      <c r="C82" s="28" t="s">
        <v>2233</v>
      </c>
    </row>
    <row r="83" spans="1:3" x14ac:dyDescent="0.25">
      <c r="A83" s="28">
        <v>1073</v>
      </c>
      <c r="B83" s="28" t="s">
        <v>2234</v>
      </c>
      <c r="C83" s="28" t="s">
        <v>2235</v>
      </c>
    </row>
    <row r="84" spans="1:3" x14ac:dyDescent="0.25">
      <c r="A84" s="28">
        <v>1119</v>
      </c>
      <c r="B84" s="28" t="s">
        <v>2236</v>
      </c>
      <c r="C84" s="28" t="s">
        <v>2237</v>
      </c>
    </row>
    <row r="85" spans="1:3" x14ac:dyDescent="0.25">
      <c r="A85" s="28">
        <v>1128</v>
      </c>
      <c r="B85" s="28" t="s">
        <v>2238</v>
      </c>
      <c r="C85" s="28" t="s">
        <v>2239</v>
      </c>
    </row>
    <row r="86" spans="1:3" x14ac:dyDescent="0.25">
      <c r="A86" s="28">
        <v>1124</v>
      </c>
      <c r="B86" s="28" t="s">
        <v>2240</v>
      </c>
      <c r="C86" s="28" t="s">
        <v>2241</v>
      </c>
    </row>
    <row r="87" spans="1:3" x14ac:dyDescent="0.25">
      <c r="A87" s="28">
        <v>1129</v>
      </c>
      <c r="B87" s="28" t="s">
        <v>2242</v>
      </c>
      <c r="C87" s="28" t="s">
        <v>2243</v>
      </c>
    </row>
    <row r="88" spans="1:3" x14ac:dyDescent="0.25">
      <c r="A88" s="28">
        <v>1135</v>
      </c>
      <c r="B88" s="28" t="s">
        <v>2244</v>
      </c>
      <c r="C88" s="28" t="s">
        <v>2245</v>
      </c>
    </row>
    <row r="89" spans="1:3" x14ac:dyDescent="0.25">
      <c r="A89" s="28">
        <v>1071</v>
      </c>
      <c r="B89" s="28" t="s">
        <v>2246</v>
      </c>
      <c r="C89" s="28" t="s">
        <v>2247</v>
      </c>
    </row>
    <row r="90" spans="1:3" x14ac:dyDescent="0.25">
      <c r="A90" s="28">
        <v>1070</v>
      </c>
      <c r="B90" s="28" t="s">
        <v>2248</v>
      </c>
      <c r="C90" s="28" t="s">
        <v>2249</v>
      </c>
    </row>
    <row r="91" spans="1:3" x14ac:dyDescent="0.25">
      <c r="A91" s="28">
        <v>1133</v>
      </c>
      <c r="B91" s="28" t="s">
        <v>2250</v>
      </c>
      <c r="C91" s="28" t="s">
        <v>2251</v>
      </c>
    </row>
    <row r="92" spans="1:3" x14ac:dyDescent="0.25">
      <c r="A92" s="28">
        <v>1131</v>
      </c>
      <c r="B92" s="28" t="s">
        <v>2252</v>
      </c>
      <c r="C92" s="28" t="s">
        <v>2253</v>
      </c>
    </row>
    <row r="93" spans="1:3" x14ac:dyDescent="0.25">
      <c r="A93" s="28">
        <v>1123</v>
      </c>
      <c r="B93" s="28" t="s">
        <v>2254</v>
      </c>
      <c r="C93" s="28" t="s">
        <v>2255</v>
      </c>
    </row>
    <row r="94" spans="1:3" x14ac:dyDescent="0.25">
      <c r="A94" s="28">
        <v>1134</v>
      </c>
      <c r="B94" s="28" t="s">
        <v>2256</v>
      </c>
      <c r="C94" s="28" t="s">
        <v>2257</v>
      </c>
    </row>
    <row r="95" spans="1:3" x14ac:dyDescent="0.25">
      <c r="A95" s="28">
        <v>1136</v>
      </c>
      <c r="B95" s="28" t="s">
        <v>2258</v>
      </c>
      <c r="C95" s="28" t="s">
        <v>2259</v>
      </c>
    </row>
    <row r="96" spans="1:3" x14ac:dyDescent="0.25">
      <c r="A96" s="28">
        <v>1089</v>
      </c>
      <c r="B96" s="28" t="s">
        <v>2260</v>
      </c>
      <c r="C96" s="28" t="s">
        <v>2261</v>
      </c>
    </row>
    <row r="97" spans="1:3" x14ac:dyDescent="0.25">
      <c r="A97" s="28">
        <v>1092</v>
      </c>
      <c r="B97" s="28" t="s">
        <v>2262</v>
      </c>
      <c r="C97" s="28" t="s">
        <v>2263</v>
      </c>
    </row>
    <row r="98" spans="1:3" x14ac:dyDescent="0.25">
      <c r="A98" s="28">
        <v>1094</v>
      </c>
      <c r="B98" s="28" t="s">
        <v>2264</v>
      </c>
      <c r="C98" s="28" t="s">
        <v>2265</v>
      </c>
    </row>
    <row r="99" spans="1:3" x14ac:dyDescent="0.25">
      <c r="A99" s="28">
        <v>1121</v>
      </c>
      <c r="B99" s="28" t="s">
        <v>2266</v>
      </c>
      <c r="C99" s="28" t="s">
        <v>2267</v>
      </c>
    </row>
    <row r="100" spans="1:3" x14ac:dyDescent="0.25">
      <c r="A100" s="28">
        <v>1054</v>
      </c>
      <c r="B100" s="28" t="s">
        <v>2268</v>
      </c>
      <c r="C100" s="28" t="s">
        <v>2269</v>
      </c>
    </row>
    <row r="101" spans="1:3" x14ac:dyDescent="0.25">
      <c r="A101" s="28">
        <v>1137</v>
      </c>
      <c r="B101" s="28" t="s">
        <v>2270</v>
      </c>
      <c r="C101" s="28" t="s">
        <v>2271</v>
      </c>
    </row>
    <row r="102" spans="1:3" x14ac:dyDescent="0.25">
      <c r="A102" s="28">
        <v>1155</v>
      </c>
      <c r="B102" s="28" t="s">
        <v>2272</v>
      </c>
      <c r="C102" s="28" t="s">
        <v>2273</v>
      </c>
    </row>
    <row r="103" spans="1:3" x14ac:dyDescent="0.25">
      <c r="A103" s="28">
        <v>1093</v>
      </c>
      <c r="B103" s="28" t="s">
        <v>2274</v>
      </c>
      <c r="C103" s="28" t="s">
        <v>2275</v>
      </c>
    </row>
    <row r="104" spans="1:3" x14ac:dyDescent="0.25">
      <c r="A104" s="28">
        <v>1096</v>
      </c>
      <c r="B104" s="28" t="s">
        <v>2276</v>
      </c>
      <c r="C104" s="28" t="s">
        <v>2277</v>
      </c>
    </row>
    <row r="105" spans="1:3" x14ac:dyDescent="0.25">
      <c r="A105" s="28">
        <v>1152</v>
      </c>
      <c r="B105" s="28" t="s">
        <v>2278</v>
      </c>
      <c r="C105" s="28" t="s">
        <v>2279</v>
      </c>
    </row>
    <row r="106" spans="1:3" x14ac:dyDescent="0.25">
      <c r="A106" s="28">
        <v>1095</v>
      </c>
      <c r="B106" s="28" t="s">
        <v>2280</v>
      </c>
      <c r="C106" s="28" t="s">
        <v>2281</v>
      </c>
    </row>
    <row r="107" spans="1:3" x14ac:dyDescent="0.25">
      <c r="A107" s="28">
        <v>1098</v>
      </c>
      <c r="B107" s="28" t="s">
        <v>2282</v>
      </c>
      <c r="C107" s="28" t="s">
        <v>2283</v>
      </c>
    </row>
    <row r="108" spans="1:3" x14ac:dyDescent="0.25">
      <c r="A108" s="28">
        <v>1150</v>
      </c>
      <c r="B108" s="28" t="s">
        <v>2284</v>
      </c>
      <c r="C108" s="28" t="s">
        <v>2285</v>
      </c>
    </row>
    <row r="109" spans="1:3" x14ac:dyDescent="0.25">
      <c r="A109" s="28">
        <v>1097</v>
      </c>
      <c r="B109" s="28" t="s">
        <v>2286</v>
      </c>
      <c r="C109" s="28" t="s">
        <v>2287</v>
      </c>
    </row>
    <row r="110" spans="1:3" x14ac:dyDescent="0.25">
      <c r="A110" s="28">
        <v>1100</v>
      </c>
      <c r="B110" s="28" t="s">
        <v>2288</v>
      </c>
      <c r="C110" s="28" t="s">
        <v>2289</v>
      </c>
    </row>
    <row r="111" spans="1:3" x14ac:dyDescent="0.25">
      <c r="A111" s="28">
        <v>1151</v>
      </c>
      <c r="B111" s="28" t="s">
        <v>2290</v>
      </c>
      <c r="C111" s="28" t="s">
        <v>2291</v>
      </c>
    </row>
    <row r="112" spans="1:3" x14ac:dyDescent="0.25">
      <c r="A112" s="28">
        <v>1099</v>
      </c>
      <c r="B112" s="28" t="s">
        <v>2292</v>
      </c>
      <c r="C112" s="28" t="s">
        <v>2293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29"/>
  <sheetViews>
    <sheetView workbookViewId="0">
      <selection activeCell="D1" sqref="D1:XFD1048576"/>
    </sheetView>
  </sheetViews>
  <sheetFormatPr defaultRowHeight="15" x14ac:dyDescent="0.25"/>
  <cols>
    <col min="1" max="1" width="9" style="28"/>
    <col min="2" max="2" width="32.42578125" style="28" customWidth="1"/>
    <col min="3" max="3" width="9.5703125" style="28" bestFit="1" customWidth="1"/>
    <col min="9" max="9" width="11.5703125" style="28" customWidth="1"/>
    <col min="10" max="10" width="48.28515625" bestFit="1" customWidth="1"/>
    <col min="11" max="11" width="9" style="28"/>
  </cols>
  <sheetData>
    <row r="1" spans="1:8" x14ac:dyDescent="0.25">
      <c r="A1" s="28" t="s">
        <v>1571</v>
      </c>
      <c r="B1" s="28" t="s">
        <v>1572</v>
      </c>
      <c r="C1" s="28" t="s">
        <v>1573</v>
      </c>
    </row>
    <row r="2" spans="1:8" x14ac:dyDescent="0.25">
      <c r="A2" s="28">
        <v>1</v>
      </c>
      <c r="B2" s="28" t="s">
        <v>1574</v>
      </c>
      <c r="C2" s="28" t="s">
        <v>1575</v>
      </c>
    </row>
    <row r="3" spans="1:8" x14ac:dyDescent="0.25">
      <c r="A3" s="28">
        <v>116</v>
      </c>
      <c r="B3" s="28" t="s">
        <v>1576</v>
      </c>
      <c r="C3" s="28" t="s">
        <v>1575</v>
      </c>
      <c r="H3" s="28"/>
    </row>
    <row r="4" spans="1:8" x14ac:dyDescent="0.25">
      <c r="A4" s="28">
        <v>115</v>
      </c>
      <c r="B4" s="28" t="s">
        <v>1577</v>
      </c>
      <c r="C4" s="28" t="s">
        <v>1575</v>
      </c>
      <c r="H4" s="28"/>
    </row>
    <row r="5" spans="1:8" x14ac:dyDescent="0.25">
      <c r="A5" s="28">
        <v>111</v>
      </c>
      <c r="B5" s="28" t="s">
        <v>1578</v>
      </c>
      <c r="C5" s="28" t="s">
        <v>1575</v>
      </c>
      <c r="H5" s="28"/>
    </row>
    <row r="6" spans="1:8" x14ac:dyDescent="0.25">
      <c r="A6" s="28">
        <v>210</v>
      </c>
      <c r="B6" s="28" t="s">
        <v>1579</v>
      </c>
      <c r="C6" s="28" t="s">
        <v>1580</v>
      </c>
      <c r="H6" s="28"/>
    </row>
    <row r="7" spans="1:8" x14ac:dyDescent="0.25">
      <c r="A7" s="28">
        <v>211</v>
      </c>
      <c r="B7" s="28" t="s">
        <v>1581</v>
      </c>
      <c r="C7" s="28" t="s">
        <v>1580</v>
      </c>
      <c r="H7" s="28"/>
    </row>
    <row r="8" spans="1:8" x14ac:dyDescent="0.25">
      <c r="A8" s="28">
        <v>60</v>
      </c>
      <c r="B8" s="28" t="s">
        <v>1582</v>
      </c>
      <c r="C8" s="28" t="s">
        <v>1580</v>
      </c>
      <c r="H8" s="28"/>
    </row>
    <row r="9" spans="1:8" x14ac:dyDescent="0.25">
      <c r="A9" s="28">
        <v>474</v>
      </c>
      <c r="B9" s="28" t="s">
        <v>1583</v>
      </c>
      <c r="C9" s="28" t="s">
        <v>1584</v>
      </c>
      <c r="H9" s="28"/>
    </row>
    <row r="10" spans="1:8" x14ac:dyDescent="0.25">
      <c r="A10" s="28">
        <v>20</v>
      </c>
      <c r="B10" s="28" t="s">
        <v>1585</v>
      </c>
      <c r="C10" s="28" t="s">
        <v>1575</v>
      </c>
      <c r="H10" s="28"/>
    </row>
    <row r="11" spans="1:8" x14ac:dyDescent="0.25">
      <c r="A11" s="28">
        <v>244</v>
      </c>
      <c r="B11" s="28" t="s">
        <v>1586</v>
      </c>
      <c r="C11" s="28" t="s">
        <v>1587</v>
      </c>
      <c r="H11" s="28"/>
    </row>
    <row r="12" spans="1:8" x14ac:dyDescent="0.25">
      <c r="A12" s="28">
        <v>188</v>
      </c>
      <c r="B12" s="28" t="s">
        <v>1588</v>
      </c>
      <c r="C12" s="28" t="s">
        <v>1589</v>
      </c>
      <c r="H12" s="28"/>
    </row>
    <row r="13" spans="1:8" x14ac:dyDescent="0.25">
      <c r="A13" s="28">
        <v>72</v>
      </c>
      <c r="B13" s="28" t="s">
        <v>1590</v>
      </c>
      <c r="C13" s="28" t="s">
        <v>1591</v>
      </c>
      <c r="H13" s="28"/>
    </row>
    <row r="14" spans="1:8" x14ac:dyDescent="0.25">
      <c r="A14" s="28">
        <v>334</v>
      </c>
      <c r="B14" s="28" t="s">
        <v>1592</v>
      </c>
      <c r="C14" s="28" t="s">
        <v>1593</v>
      </c>
      <c r="H14" s="28"/>
    </row>
    <row r="15" spans="1:8" x14ac:dyDescent="0.25">
      <c r="A15" s="28">
        <v>13</v>
      </c>
      <c r="B15" s="28" t="s">
        <v>1594</v>
      </c>
      <c r="C15" s="28" t="s">
        <v>1593</v>
      </c>
      <c r="H15" s="28"/>
    </row>
    <row r="16" spans="1:8" x14ac:dyDescent="0.25">
      <c r="A16" s="28">
        <v>7</v>
      </c>
      <c r="B16" s="28" t="s">
        <v>1595</v>
      </c>
      <c r="C16" s="28" t="s">
        <v>1596</v>
      </c>
      <c r="H16" s="28"/>
    </row>
    <row r="17" spans="1:8" x14ac:dyDescent="0.25">
      <c r="A17" s="28">
        <v>184</v>
      </c>
      <c r="B17" s="28" t="s">
        <v>1597</v>
      </c>
      <c r="C17" s="28" t="s">
        <v>1596</v>
      </c>
      <c r="H17" s="28"/>
    </row>
    <row r="18" spans="1:8" x14ac:dyDescent="0.25">
      <c r="A18" s="28">
        <v>21</v>
      </c>
      <c r="B18" s="28" t="s">
        <v>1598</v>
      </c>
      <c r="C18" s="28" t="s">
        <v>1596</v>
      </c>
      <c r="H18" s="28"/>
    </row>
    <row r="19" spans="1:8" x14ac:dyDescent="0.25">
      <c r="A19" s="28">
        <v>16</v>
      </c>
      <c r="B19" s="28" t="s">
        <v>1599</v>
      </c>
      <c r="C19" s="28" t="s">
        <v>1584</v>
      </c>
      <c r="H19" s="28"/>
    </row>
    <row r="20" spans="1:8" x14ac:dyDescent="0.25">
      <c r="A20" s="28">
        <v>36</v>
      </c>
      <c r="B20" s="28" t="s">
        <v>1600</v>
      </c>
      <c r="C20" s="28" t="s">
        <v>1584</v>
      </c>
      <c r="H20" s="28"/>
    </row>
    <row r="21" spans="1:8" x14ac:dyDescent="0.25">
      <c r="A21" s="28">
        <v>338</v>
      </c>
      <c r="B21" s="28" t="s">
        <v>1601</v>
      </c>
      <c r="C21" s="28" t="s">
        <v>1596</v>
      </c>
      <c r="H21" s="28"/>
    </row>
    <row r="22" spans="1:8" x14ac:dyDescent="0.25">
      <c r="A22" s="28">
        <v>337</v>
      </c>
      <c r="B22" s="28" t="s">
        <v>1602</v>
      </c>
      <c r="C22" s="28" t="s">
        <v>1596</v>
      </c>
      <c r="H22" s="28"/>
    </row>
    <row r="23" spans="1:8" x14ac:dyDescent="0.25">
      <c r="A23" s="28">
        <v>101</v>
      </c>
      <c r="B23" s="28" t="s">
        <v>1603</v>
      </c>
      <c r="C23" s="28" t="s">
        <v>1596</v>
      </c>
      <c r="H23" s="28"/>
    </row>
    <row r="24" spans="1:8" x14ac:dyDescent="0.25">
      <c r="A24" s="28">
        <v>140</v>
      </c>
      <c r="B24" s="28" t="s">
        <v>1604</v>
      </c>
      <c r="C24" s="28" t="s">
        <v>1605</v>
      </c>
      <c r="H24" s="28"/>
    </row>
    <row r="25" spans="1:8" x14ac:dyDescent="0.25">
      <c r="A25" s="28">
        <v>243</v>
      </c>
      <c r="B25" s="28" t="s">
        <v>1606</v>
      </c>
      <c r="C25" s="28" t="s">
        <v>1607</v>
      </c>
      <c r="H25" s="28"/>
    </row>
    <row r="26" spans="1:8" x14ac:dyDescent="0.25">
      <c r="A26" s="28">
        <v>342</v>
      </c>
      <c r="B26" s="28" t="s">
        <v>1608</v>
      </c>
      <c r="C26" s="28" t="s">
        <v>1609</v>
      </c>
      <c r="H26" s="28"/>
    </row>
    <row r="27" spans="1:8" x14ac:dyDescent="0.25">
      <c r="A27" s="28">
        <v>286</v>
      </c>
      <c r="B27" s="28" t="s">
        <v>1610</v>
      </c>
      <c r="C27" s="28" t="s">
        <v>1611</v>
      </c>
      <c r="H27" s="28"/>
    </row>
    <row r="28" spans="1:8" x14ac:dyDescent="0.25">
      <c r="A28" s="28">
        <v>171</v>
      </c>
      <c r="B28" s="28" t="s">
        <v>1612</v>
      </c>
      <c r="C28" s="28" t="s">
        <v>1593</v>
      </c>
      <c r="H28" s="28"/>
    </row>
    <row r="29" spans="1:8" x14ac:dyDescent="0.25">
      <c r="A29" s="28">
        <v>287</v>
      </c>
      <c r="B29" s="28" t="s">
        <v>1613</v>
      </c>
      <c r="C29" s="28" t="s">
        <v>1591</v>
      </c>
      <c r="H29" s="28"/>
    </row>
    <row r="30" spans="1:8" x14ac:dyDescent="0.25">
      <c r="A30" s="28">
        <v>336</v>
      </c>
      <c r="B30" s="28" t="s">
        <v>1614</v>
      </c>
      <c r="C30" s="28" t="s">
        <v>1591</v>
      </c>
      <c r="H30" s="28"/>
    </row>
    <row r="31" spans="1:8" x14ac:dyDescent="0.25">
      <c r="A31" s="28">
        <v>335</v>
      </c>
      <c r="B31" s="28" t="s">
        <v>1615</v>
      </c>
      <c r="C31" s="28" t="s">
        <v>1591</v>
      </c>
      <c r="H31" s="28"/>
    </row>
    <row r="32" spans="1:8" x14ac:dyDescent="0.25">
      <c r="A32" s="28">
        <v>314</v>
      </c>
      <c r="B32" s="28" t="s">
        <v>1616</v>
      </c>
      <c r="C32" s="28" t="s">
        <v>1605</v>
      </c>
      <c r="H32" s="28"/>
    </row>
    <row r="33" spans="1:8" x14ac:dyDescent="0.25">
      <c r="A33" s="28">
        <v>179</v>
      </c>
      <c r="B33" s="28" t="s">
        <v>1617</v>
      </c>
      <c r="C33" s="28" t="s">
        <v>1618</v>
      </c>
      <c r="H33" s="28"/>
    </row>
    <row r="34" spans="1:8" x14ac:dyDescent="0.25">
      <c r="A34" s="28">
        <v>22</v>
      </c>
      <c r="B34" s="28" t="s">
        <v>1619</v>
      </c>
      <c r="C34" s="28" t="s">
        <v>1596</v>
      </c>
      <c r="H34" s="28"/>
    </row>
    <row r="35" spans="1:8" x14ac:dyDescent="0.25">
      <c r="A35" s="28">
        <v>23</v>
      </c>
      <c r="B35" s="28" t="s">
        <v>1620</v>
      </c>
      <c r="C35" s="28" t="s">
        <v>1621</v>
      </c>
      <c r="H35" s="28"/>
    </row>
    <row r="36" spans="1:8" x14ac:dyDescent="0.25">
      <c r="A36" s="28">
        <v>301</v>
      </c>
      <c r="B36" s="28" t="s">
        <v>1622</v>
      </c>
      <c r="C36" s="28" t="s">
        <v>1623</v>
      </c>
      <c r="H36" s="28"/>
    </row>
    <row r="37" spans="1:8" x14ac:dyDescent="0.25">
      <c r="A37" s="28">
        <v>302</v>
      </c>
      <c r="B37" s="28" t="s">
        <v>1624</v>
      </c>
      <c r="C37" s="28" t="s">
        <v>1625</v>
      </c>
      <c r="H37" s="28"/>
    </row>
    <row r="38" spans="1:8" x14ac:dyDescent="0.25">
      <c r="A38" s="28">
        <v>500</v>
      </c>
      <c r="B38" s="28" t="s">
        <v>1626</v>
      </c>
      <c r="C38" s="28" t="s">
        <v>1627</v>
      </c>
      <c r="H38" s="28"/>
    </row>
    <row r="39" spans="1:8" x14ac:dyDescent="0.25">
      <c r="A39" s="28">
        <v>248</v>
      </c>
      <c r="B39" s="28" t="s">
        <v>1628</v>
      </c>
      <c r="C39" s="28" t="s">
        <v>1629</v>
      </c>
      <c r="H39" s="28"/>
    </row>
    <row r="40" spans="1:8" x14ac:dyDescent="0.25">
      <c r="A40" s="28">
        <v>284</v>
      </c>
      <c r="B40" s="28" t="s">
        <v>1630</v>
      </c>
      <c r="C40" s="28" t="s">
        <v>1609</v>
      </c>
      <c r="H40" s="28"/>
    </row>
    <row r="41" spans="1:8" x14ac:dyDescent="0.25">
      <c r="A41" s="28">
        <v>285</v>
      </c>
      <c r="B41" s="28" t="s">
        <v>1631</v>
      </c>
      <c r="C41" s="28" t="s">
        <v>1632</v>
      </c>
      <c r="H41" s="28"/>
    </row>
    <row r="42" spans="1:8" x14ac:dyDescent="0.25">
      <c r="A42" s="28">
        <v>245</v>
      </c>
      <c r="B42" s="28" t="s">
        <v>1633</v>
      </c>
      <c r="C42" s="28" t="s">
        <v>1634</v>
      </c>
      <c r="H42" s="28"/>
    </row>
    <row r="43" spans="1:8" x14ac:dyDescent="0.25">
      <c r="A43" s="28">
        <v>237</v>
      </c>
      <c r="B43" s="28" t="s">
        <v>1635</v>
      </c>
      <c r="C43" s="28" t="s">
        <v>1636</v>
      </c>
      <c r="H43" s="28"/>
    </row>
    <row r="44" spans="1:8" x14ac:dyDescent="0.25">
      <c r="A44" s="28">
        <v>223</v>
      </c>
      <c r="B44" s="28" t="s">
        <v>1637</v>
      </c>
      <c r="C44" s="28" t="s">
        <v>1638</v>
      </c>
      <c r="H44" s="28"/>
    </row>
    <row r="45" spans="1:8" x14ac:dyDescent="0.25">
      <c r="A45" s="28">
        <v>141</v>
      </c>
      <c r="B45" s="28" t="s">
        <v>1639</v>
      </c>
      <c r="C45" s="28" t="s">
        <v>1584</v>
      </c>
      <c r="H45" s="28"/>
    </row>
    <row r="46" spans="1:8" x14ac:dyDescent="0.25">
      <c r="A46" s="28">
        <v>247</v>
      </c>
      <c r="B46" s="28" t="s">
        <v>1640</v>
      </c>
      <c r="C46" s="28" t="s">
        <v>1636</v>
      </c>
      <c r="H46" s="28"/>
    </row>
    <row r="47" spans="1:8" x14ac:dyDescent="0.25">
      <c r="A47" s="28">
        <v>156</v>
      </c>
      <c r="B47" s="28" t="s">
        <v>1641</v>
      </c>
      <c r="C47" s="28" t="s">
        <v>1642</v>
      </c>
      <c r="H47" s="28"/>
    </row>
    <row r="48" spans="1:8" x14ac:dyDescent="0.25">
      <c r="A48" s="28">
        <v>325</v>
      </c>
      <c r="B48" s="28" t="s">
        <v>1643</v>
      </c>
      <c r="C48" s="28" t="s">
        <v>1644</v>
      </c>
      <c r="H48" s="28"/>
    </row>
    <row r="49" spans="1:8" x14ac:dyDescent="0.25">
      <c r="A49" s="28">
        <v>226</v>
      </c>
      <c r="B49" s="28" t="s">
        <v>1645</v>
      </c>
      <c r="C49" s="28" t="s">
        <v>1646</v>
      </c>
      <c r="H49" s="28"/>
    </row>
    <row r="50" spans="1:8" x14ac:dyDescent="0.25">
      <c r="A50" s="28">
        <v>253</v>
      </c>
      <c r="B50" s="28" t="s">
        <v>1647</v>
      </c>
      <c r="C50" s="28" t="s">
        <v>1648</v>
      </c>
      <c r="H50" s="28"/>
    </row>
    <row r="51" spans="1:8" x14ac:dyDescent="0.25">
      <c r="A51" s="28">
        <v>252</v>
      </c>
      <c r="B51" s="28" t="s">
        <v>1649</v>
      </c>
      <c r="C51" s="28" t="s">
        <v>1646</v>
      </c>
      <c r="H51" s="28"/>
    </row>
    <row r="52" spans="1:8" x14ac:dyDescent="0.25">
      <c r="A52" s="28">
        <v>152</v>
      </c>
      <c r="B52" s="28" t="s">
        <v>1650</v>
      </c>
      <c r="C52" s="28" t="s">
        <v>1651</v>
      </c>
      <c r="H52" s="28"/>
    </row>
    <row r="53" spans="1:8" x14ac:dyDescent="0.25">
      <c r="A53" s="28">
        <v>324</v>
      </c>
      <c r="B53" s="28" t="s">
        <v>1652</v>
      </c>
      <c r="C53" s="28" t="s">
        <v>1653</v>
      </c>
      <c r="H53" s="28"/>
    </row>
    <row r="54" spans="1:8" x14ac:dyDescent="0.25">
      <c r="A54" s="28">
        <v>230</v>
      </c>
      <c r="B54" s="28" t="s">
        <v>1654</v>
      </c>
      <c r="C54" s="28" t="s">
        <v>1655</v>
      </c>
      <c r="H54" s="28"/>
    </row>
    <row r="55" spans="1:8" x14ac:dyDescent="0.25">
      <c r="A55" s="28">
        <v>153</v>
      </c>
      <c r="B55" s="28" t="s">
        <v>1656</v>
      </c>
      <c r="C55" s="28" t="s">
        <v>1646</v>
      </c>
      <c r="H55" s="28"/>
    </row>
    <row r="56" spans="1:8" x14ac:dyDescent="0.25">
      <c r="A56" s="28">
        <v>154</v>
      </c>
      <c r="B56" s="28" t="s">
        <v>1657</v>
      </c>
      <c r="C56" s="28" t="s">
        <v>1646</v>
      </c>
      <c r="H56" s="28"/>
    </row>
    <row r="57" spans="1:8" x14ac:dyDescent="0.25">
      <c r="A57" s="28">
        <v>322</v>
      </c>
      <c r="B57" s="28" t="s">
        <v>1658</v>
      </c>
      <c r="C57" s="28" t="s">
        <v>1659</v>
      </c>
      <c r="H57" s="28"/>
    </row>
    <row r="58" spans="1:8" x14ac:dyDescent="0.25">
      <c r="A58" s="28">
        <v>258</v>
      </c>
      <c r="B58" s="28" t="s">
        <v>1660</v>
      </c>
      <c r="C58" s="28" t="s">
        <v>1651</v>
      </c>
      <c r="H58" s="28"/>
    </row>
    <row r="59" spans="1:8" x14ac:dyDescent="0.25">
      <c r="A59" s="28">
        <v>225</v>
      </c>
      <c r="B59" s="28" t="s">
        <v>1661</v>
      </c>
      <c r="C59" s="28" t="s">
        <v>1648</v>
      </c>
      <c r="H59" s="28"/>
    </row>
    <row r="60" spans="1:8" x14ac:dyDescent="0.25">
      <c r="A60" s="28">
        <v>339</v>
      </c>
      <c r="B60" s="28" t="s">
        <v>1662</v>
      </c>
      <c r="C60" s="28" t="s">
        <v>1644</v>
      </c>
      <c r="H60" s="28"/>
    </row>
    <row r="61" spans="1:8" x14ac:dyDescent="0.25">
      <c r="A61" s="28">
        <v>227</v>
      </c>
      <c r="B61" s="28" t="s">
        <v>1663</v>
      </c>
      <c r="C61" s="28" t="s">
        <v>1664</v>
      </c>
      <c r="H61" s="28"/>
    </row>
    <row r="62" spans="1:8" x14ac:dyDescent="0.25">
      <c r="A62" s="28">
        <v>265</v>
      </c>
      <c r="B62" s="28" t="s">
        <v>1665</v>
      </c>
      <c r="C62" s="28" t="s">
        <v>1644</v>
      </c>
      <c r="H62" s="28"/>
    </row>
    <row r="63" spans="1:8" x14ac:dyDescent="0.25">
      <c r="A63" s="28">
        <v>102</v>
      </c>
      <c r="B63" s="28" t="s">
        <v>1666</v>
      </c>
      <c r="C63" s="28" t="s">
        <v>1644</v>
      </c>
      <c r="H63" s="28"/>
    </row>
    <row r="64" spans="1:8" x14ac:dyDescent="0.25">
      <c r="A64" s="28">
        <v>159</v>
      </c>
      <c r="B64" s="28" t="s">
        <v>1667</v>
      </c>
      <c r="C64" s="28" t="s">
        <v>1668</v>
      </c>
      <c r="H64" s="28"/>
    </row>
    <row r="65" spans="1:8" x14ac:dyDescent="0.25">
      <c r="A65" s="28">
        <v>9</v>
      </c>
      <c r="B65" s="28" t="s">
        <v>1669</v>
      </c>
      <c r="C65" s="28" t="s">
        <v>1670</v>
      </c>
      <c r="H65" s="28"/>
    </row>
    <row r="66" spans="1:8" x14ac:dyDescent="0.25">
      <c r="A66" s="28">
        <v>224</v>
      </c>
      <c r="B66" s="28" t="s">
        <v>1671</v>
      </c>
      <c r="C66" s="28" t="s">
        <v>1672</v>
      </c>
      <c r="H66" s="28"/>
    </row>
    <row r="67" spans="1:8" x14ac:dyDescent="0.25">
      <c r="A67" s="28">
        <v>281</v>
      </c>
      <c r="B67" s="28" t="s">
        <v>1673</v>
      </c>
      <c r="C67" s="28" t="s">
        <v>1644</v>
      </c>
      <c r="H67" s="28"/>
    </row>
    <row r="68" spans="1:8" x14ac:dyDescent="0.25">
      <c r="A68" s="28">
        <v>157</v>
      </c>
      <c r="B68" s="28" t="s">
        <v>1674</v>
      </c>
      <c r="C68" s="28" t="s">
        <v>1644</v>
      </c>
      <c r="H68" s="28"/>
    </row>
    <row r="69" spans="1:8" x14ac:dyDescent="0.25">
      <c r="A69" s="28">
        <v>158</v>
      </c>
      <c r="B69" s="28" t="s">
        <v>1675</v>
      </c>
      <c r="C69" s="28" t="s">
        <v>1664</v>
      </c>
      <c r="H69" s="28"/>
    </row>
    <row r="70" spans="1:8" x14ac:dyDescent="0.25">
      <c r="A70" s="28">
        <v>142</v>
      </c>
      <c r="B70" s="28" t="s">
        <v>1676</v>
      </c>
      <c r="C70" s="28" t="s">
        <v>1677</v>
      </c>
      <c r="H70" s="28"/>
    </row>
    <row r="71" spans="1:8" x14ac:dyDescent="0.25">
      <c r="A71" s="28">
        <v>315</v>
      </c>
      <c r="B71" s="28" t="s">
        <v>1678</v>
      </c>
      <c r="C71" s="28" t="s">
        <v>1605</v>
      </c>
      <c r="H71" s="28"/>
    </row>
    <row r="72" spans="1:8" x14ac:dyDescent="0.25">
      <c r="A72" s="28">
        <v>283</v>
      </c>
      <c r="B72" s="28" t="s">
        <v>1679</v>
      </c>
      <c r="C72" s="28" t="s">
        <v>1680</v>
      </c>
      <c r="H72" s="28"/>
    </row>
    <row r="73" spans="1:8" x14ac:dyDescent="0.25">
      <c r="A73" s="28">
        <v>276</v>
      </c>
      <c r="B73" s="28" t="s">
        <v>1681</v>
      </c>
      <c r="C73" s="28" t="s">
        <v>1682</v>
      </c>
      <c r="H73" s="28"/>
    </row>
    <row r="74" spans="1:8" x14ac:dyDescent="0.25">
      <c r="A74" s="28">
        <v>321</v>
      </c>
      <c r="B74" s="28" t="s">
        <v>1683</v>
      </c>
      <c r="C74" s="28" t="s">
        <v>1684</v>
      </c>
      <c r="H74" s="28"/>
    </row>
    <row r="75" spans="1:8" x14ac:dyDescent="0.25">
      <c r="A75" s="28">
        <v>320</v>
      </c>
      <c r="B75" s="28" t="s">
        <v>1685</v>
      </c>
      <c r="C75" s="28" t="s">
        <v>1646</v>
      </c>
      <c r="H75" s="28"/>
    </row>
    <row r="76" spans="1:8" x14ac:dyDescent="0.25">
      <c r="A76" s="28">
        <v>272</v>
      </c>
      <c r="B76" s="28" t="s">
        <v>1686</v>
      </c>
      <c r="C76" s="28" t="s">
        <v>1687</v>
      </c>
      <c r="H76" s="28"/>
    </row>
    <row r="77" spans="1:8" x14ac:dyDescent="0.25">
      <c r="A77" s="28">
        <v>275</v>
      </c>
      <c r="B77" s="28" t="s">
        <v>1688</v>
      </c>
      <c r="C77" s="28" t="s">
        <v>1689</v>
      </c>
      <c r="H77" s="28"/>
    </row>
    <row r="78" spans="1:8" x14ac:dyDescent="0.25">
      <c r="A78" s="28">
        <v>271</v>
      </c>
      <c r="B78" s="28" t="s">
        <v>1690</v>
      </c>
      <c r="C78" s="28" t="s">
        <v>1691</v>
      </c>
      <c r="H78" s="28"/>
    </row>
    <row r="79" spans="1:8" x14ac:dyDescent="0.25">
      <c r="A79" s="28">
        <v>270</v>
      </c>
      <c r="B79" s="28" t="s">
        <v>1692</v>
      </c>
      <c r="C79" s="28" t="s">
        <v>1693</v>
      </c>
      <c r="H79" s="28"/>
    </row>
    <row r="80" spans="1:8" x14ac:dyDescent="0.25">
      <c r="A80" s="28">
        <v>274</v>
      </c>
      <c r="B80" s="28" t="s">
        <v>1694</v>
      </c>
      <c r="C80" s="28" t="s">
        <v>1695</v>
      </c>
      <c r="H80" s="28"/>
    </row>
    <row r="81" spans="1:8" x14ac:dyDescent="0.25">
      <c r="A81" s="28">
        <v>269</v>
      </c>
      <c r="B81" s="28" t="s">
        <v>1696</v>
      </c>
      <c r="C81" s="28" t="s">
        <v>1697</v>
      </c>
      <c r="H81" s="28"/>
    </row>
    <row r="82" spans="1:8" x14ac:dyDescent="0.25">
      <c r="A82" s="28">
        <v>273</v>
      </c>
      <c r="B82" s="28" t="s">
        <v>1698</v>
      </c>
      <c r="C82" s="28" t="s">
        <v>1659</v>
      </c>
      <c r="H82" s="28"/>
    </row>
    <row r="83" spans="1:8" x14ac:dyDescent="0.25">
      <c r="A83" s="28">
        <v>268</v>
      </c>
      <c r="B83" s="28" t="s">
        <v>1699</v>
      </c>
      <c r="C83" s="28" t="s">
        <v>1700</v>
      </c>
      <c r="H83" s="28"/>
    </row>
    <row r="84" spans="1:8" x14ac:dyDescent="0.25">
      <c r="A84" s="28">
        <v>31</v>
      </c>
      <c r="B84" s="28" t="s">
        <v>1701</v>
      </c>
      <c r="C84" s="28" t="s">
        <v>1638</v>
      </c>
      <c r="H84" s="28"/>
    </row>
    <row r="85" spans="1:8" x14ac:dyDescent="0.25">
      <c r="A85" s="28">
        <v>132</v>
      </c>
      <c r="B85" s="28" t="s">
        <v>1702</v>
      </c>
      <c r="C85" s="28" t="s">
        <v>1703</v>
      </c>
      <c r="H85" s="28"/>
    </row>
    <row r="86" spans="1:8" x14ac:dyDescent="0.25">
      <c r="A86" s="28">
        <v>266</v>
      </c>
      <c r="B86" s="28" t="s">
        <v>1704</v>
      </c>
      <c r="C86" s="28" t="s">
        <v>1705</v>
      </c>
      <c r="H86" s="28"/>
    </row>
    <row r="87" spans="1:8" x14ac:dyDescent="0.25">
      <c r="A87" s="28">
        <v>47</v>
      </c>
      <c r="B87" s="28" t="s">
        <v>1706</v>
      </c>
      <c r="C87" s="28" t="s">
        <v>1707</v>
      </c>
      <c r="H87" s="28"/>
    </row>
    <row r="88" spans="1:8" x14ac:dyDescent="0.25">
      <c r="A88" s="28">
        <v>201</v>
      </c>
      <c r="B88" s="28" t="s">
        <v>1708</v>
      </c>
      <c r="C88" s="28" t="s">
        <v>1703</v>
      </c>
      <c r="H88" s="28"/>
    </row>
    <row r="89" spans="1:8" x14ac:dyDescent="0.25">
      <c r="A89" s="28">
        <v>28</v>
      </c>
      <c r="B89" s="28" t="s">
        <v>1709</v>
      </c>
      <c r="C89" s="28" t="s">
        <v>1707</v>
      </c>
      <c r="H89" s="28"/>
    </row>
    <row r="90" spans="1:8" x14ac:dyDescent="0.25">
      <c r="A90" s="28">
        <v>264</v>
      </c>
      <c r="B90" s="28" t="s">
        <v>1710</v>
      </c>
      <c r="C90" s="28" t="s">
        <v>1711</v>
      </c>
      <c r="H90" s="28"/>
    </row>
    <row r="91" spans="1:8" x14ac:dyDescent="0.25">
      <c r="A91" s="28">
        <v>267</v>
      </c>
      <c r="B91" s="28" t="s">
        <v>1712</v>
      </c>
      <c r="C91" s="28" t="s">
        <v>1713</v>
      </c>
      <c r="H91" s="28"/>
    </row>
    <row r="92" spans="1:8" x14ac:dyDescent="0.25">
      <c r="A92" s="28">
        <v>160</v>
      </c>
      <c r="B92" s="28" t="s">
        <v>1714</v>
      </c>
      <c r="C92" s="28" t="s">
        <v>1715</v>
      </c>
      <c r="H92" s="28"/>
    </row>
    <row r="93" spans="1:8" x14ac:dyDescent="0.25">
      <c r="A93" s="28">
        <v>162</v>
      </c>
      <c r="B93" s="28" t="s">
        <v>1716</v>
      </c>
      <c r="C93" s="28" t="s">
        <v>1713</v>
      </c>
      <c r="H93" s="28"/>
    </row>
    <row r="94" spans="1:8" x14ac:dyDescent="0.25">
      <c r="A94" s="28">
        <v>143</v>
      </c>
      <c r="B94" s="28" t="s">
        <v>1717</v>
      </c>
      <c r="C94" s="28" t="s">
        <v>1718</v>
      </c>
      <c r="H94" s="28"/>
    </row>
    <row r="95" spans="1:8" x14ac:dyDescent="0.25">
      <c r="A95" s="28">
        <v>181</v>
      </c>
      <c r="B95" s="28" t="s">
        <v>1719</v>
      </c>
      <c r="C95" s="28" t="s">
        <v>1596</v>
      </c>
      <c r="H95" s="28"/>
    </row>
    <row r="96" spans="1:8" x14ac:dyDescent="0.25">
      <c r="A96" s="28">
        <v>485</v>
      </c>
      <c r="B96" s="28" t="s">
        <v>1720</v>
      </c>
      <c r="C96" s="28" t="s">
        <v>1721</v>
      </c>
      <c r="H96" s="28"/>
    </row>
    <row r="97" spans="1:8" x14ac:dyDescent="0.25">
      <c r="A97" s="28">
        <v>288</v>
      </c>
      <c r="B97" s="28" t="s">
        <v>1722</v>
      </c>
      <c r="C97" s="28" t="s">
        <v>1723</v>
      </c>
      <c r="H97" s="28"/>
    </row>
    <row r="98" spans="1:8" x14ac:dyDescent="0.25">
      <c r="A98" s="28">
        <v>341</v>
      </c>
      <c r="B98" s="28" t="s">
        <v>1724</v>
      </c>
      <c r="C98" s="28" t="s">
        <v>1703</v>
      </c>
      <c r="H98" s="28"/>
    </row>
    <row r="99" spans="1:8" x14ac:dyDescent="0.25">
      <c r="A99" s="28">
        <v>346</v>
      </c>
      <c r="B99" s="28" t="s">
        <v>1725</v>
      </c>
      <c r="C99" s="28" t="s">
        <v>1726</v>
      </c>
      <c r="H99" s="28"/>
    </row>
    <row r="100" spans="1:8" x14ac:dyDescent="0.25">
      <c r="A100" s="28">
        <v>78</v>
      </c>
      <c r="B100" s="28" t="s">
        <v>1727</v>
      </c>
      <c r="C100" s="28" t="s">
        <v>1703</v>
      </c>
      <c r="H100" s="28"/>
    </row>
    <row r="101" spans="1:8" x14ac:dyDescent="0.25">
      <c r="A101" s="28">
        <v>306</v>
      </c>
      <c r="B101" s="28" t="s">
        <v>1728</v>
      </c>
      <c r="C101" s="28" t="s">
        <v>1718</v>
      </c>
      <c r="H101" s="28"/>
    </row>
    <row r="102" spans="1:8" x14ac:dyDescent="0.25">
      <c r="A102" s="28">
        <v>87</v>
      </c>
      <c r="B102" s="28" t="s">
        <v>1729</v>
      </c>
      <c r="C102" s="28" t="s">
        <v>1596</v>
      </c>
      <c r="H102" s="28"/>
    </row>
    <row r="103" spans="1:8" x14ac:dyDescent="0.25">
      <c r="A103" s="28">
        <v>46</v>
      </c>
      <c r="B103" s="28" t="s">
        <v>1730</v>
      </c>
      <c r="C103" s="28" t="s">
        <v>1584</v>
      </c>
      <c r="H103" s="28"/>
    </row>
    <row r="104" spans="1:8" x14ac:dyDescent="0.25">
      <c r="A104" s="28">
        <v>333</v>
      </c>
      <c r="B104" s="28" t="s">
        <v>1731</v>
      </c>
      <c r="C104" s="28" t="s">
        <v>1732</v>
      </c>
      <c r="H104" s="28"/>
    </row>
    <row r="105" spans="1:8" x14ac:dyDescent="0.25">
      <c r="A105" s="28">
        <v>10</v>
      </c>
      <c r="B105" s="28" t="s">
        <v>1733</v>
      </c>
      <c r="C105" s="28" t="s">
        <v>1732</v>
      </c>
      <c r="H105" s="28"/>
    </row>
    <row r="106" spans="1:8" x14ac:dyDescent="0.25">
      <c r="A106" s="28">
        <v>12</v>
      </c>
      <c r="B106" s="28" t="s">
        <v>1734</v>
      </c>
      <c r="C106" s="28" t="s">
        <v>1735</v>
      </c>
      <c r="H106" s="28"/>
    </row>
    <row r="107" spans="1:8" x14ac:dyDescent="0.25">
      <c r="A107" s="28">
        <v>221</v>
      </c>
      <c r="B107" s="28" t="s">
        <v>1736</v>
      </c>
      <c r="C107" s="28" t="s">
        <v>1737</v>
      </c>
      <c r="H107" s="28"/>
    </row>
    <row r="108" spans="1:8" x14ac:dyDescent="0.25">
      <c r="A108" s="28">
        <v>238</v>
      </c>
      <c r="B108" s="28" t="s">
        <v>1738</v>
      </c>
      <c r="C108" s="28" t="s">
        <v>1739</v>
      </c>
      <c r="H108" s="28"/>
    </row>
    <row r="109" spans="1:8" x14ac:dyDescent="0.25">
      <c r="A109" s="28">
        <v>144</v>
      </c>
      <c r="B109" s="28" t="s">
        <v>1740</v>
      </c>
      <c r="C109" s="28" t="s">
        <v>1741</v>
      </c>
      <c r="H109" s="28"/>
    </row>
    <row r="110" spans="1:8" x14ac:dyDescent="0.25">
      <c r="A110" s="28">
        <v>147</v>
      </c>
      <c r="B110" s="28" t="s">
        <v>1742</v>
      </c>
      <c r="C110" s="28" t="s">
        <v>1743</v>
      </c>
      <c r="H110" s="28"/>
    </row>
    <row r="111" spans="1:8" x14ac:dyDescent="0.25">
      <c r="A111" s="28">
        <v>178</v>
      </c>
      <c r="B111" s="28" t="s">
        <v>1744</v>
      </c>
      <c r="C111" s="28" t="s">
        <v>1737</v>
      </c>
      <c r="H111" s="28"/>
    </row>
    <row r="112" spans="1:8" x14ac:dyDescent="0.25">
      <c r="A112" s="28">
        <v>146</v>
      </c>
      <c r="B112" s="28" t="s">
        <v>1745</v>
      </c>
      <c r="C112" s="28" t="s">
        <v>1723</v>
      </c>
      <c r="H112" s="28"/>
    </row>
    <row r="113" spans="1:8" x14ac:dyDescent="0.25">
      <c r="A113" s="28">
        <v>163</v>
      </c>
      <c r="B113" s="28" t="s">
        <v>1746</v>
      </c>
      <c r="C113" s="28" t="s">
        <v>1747</v>
      </c>
      <c r="H113" s="28"/>
    </row>
    <row r="114" spans="1:8" x14ac:dyDescent="0.25">
      <c r="A114" s="28">
        <v>312</v>
      </c>
      <c r="B114" s="28" t="s">
        <v>1748</v>
      </c>
      <c r="C114" s="28" t="s">
        <v>1737</v>
      </c>
      <c r="H114" s="28"/>
    </row>
    <row r="115" spans="1:8" x14ac:dyDescent="0.25">
      <c r="A115" s="28">
        <v>313</v>
      </c>
      <c r="B115" s="28" t="s">
        <v>1749</v>
      </c>
      <c r="C115" s="28" t="s">
        <v>1737</v>
      </c>
      <c r="H115" s="28"/>
    </row>
    <row r="116" spans="1:8" x14ac:dyDescent="0.25">
      <c r="A116" s="28">
        <v>169</v>
      </c>
      <c r="B116" s="28" t="s">
        <v>1750</v>
      </c>
      <c r="C116" s="28" t="s">
        <v>1723</v>
      </c>
      <c r="H116" s="28"/>
    </row>
    <row r="117" spans="1:8" x14ac:dyDescent="0.25">
      <c r="A117" s="28">
        <v>117</v>
      </c>
      <c r="B117" s="28" t="s">
        <v>1751</v>
      </c>
      <c r="C117" s="28" t="s">
        <v>1752</v>
      </c>
      <c r="H117" s="28"/>
    </row>
    <row r="118" spans="1:8" x14ac:dyDescent="0.25">
      <c r="A118" s="28">
        <v>164</v>
      </c>
      <c r="B118" s="28" t="s">
        <v>1753</v>
      </c>
      <c r="C118" s="28" t="s">
        <v>1754</v>
      </c>
      <c r="H118" s="28"/>
    </row>
    <row r="119" spans="1:8" x14ac:dyDescent="0.25">
      <c r="A119" s="28">
        <v>165</v>
      </c>
      <c r="B119" s="28" t="s">
        <v>1755</v>
      </c>
      <c r="C119" s="28" t="s">
        <v>1756</v>
      </c>
      <c r="H119" s="28"/>
    </row>
    <row r="120" spans="1:8" x14ac:dyDescent="0.25">
      <c r="A120" s="28">
        <v>263</v>
      </c>
      <c r="B120" s="28" t="s">
        <v>1757</v>
      </c>
      <c r="C120" s="28" t="s">
        <v>1754</v>
      </c>
      <c r="H120" s="28"/>
    </row>
    <row r="121" spans="1:8" x14ac:dyDescent="0.25">
      <c r="A121" s="28">
        <v>63</v>
      </c>
      <c r="B121" s="28" t="s">
        <v>1758</v>
      </c>
      <c r="C121" s="28" t="s">
        <v>1759</v>
      </c>
      <c r="H121" s="28"/>
    </row>
    <row r="122" spans="1:8" x14ac:dyDescent="0.25">
      <c r="A122" s="28">
        <v>256</v>
      </c>
      <c r="B122" s="28" t="s">
        <v>1760</v>
      </c>
      <c r="C122" s="28" t="s">
        <v>1756</v>
      </c>
      <c r="H122" s="28"/>
    </row>
    <row r="123" spans="1:8" x14ac:dyDescent="0.25">
      <c r="A123" s="28">
        <v>199</v>
      </c>
      <c r="B123" s="28" t="s">
        <v>1761</v>
      </c>
      <c r="C123" s="28" t="s">
        <v>1762</v>
      </c>
      <c r="H123" s="28"/>
    </row>
    <row r="124" spans="1:8" x14ac:dyDescent="0.25">
      <c r="A124" s="28">
        <v>249</v>
      </c>
      <c r="B124" s="28" t="s">
        <v>1763</v>
      </c>
      <c r="C124" s="28" t="s">
        <v>1756</v>
      </c>
      <c r="H124" s="28"/>
    </row>
    <row r="125" spans="1:8" x14ac:dyDescent="0.25">
      <c r="A125" s="28">
        <v>187</v>
      </c>
      <c r="B125" s="28" t="s">
        <v>1764</v>
      </c>
      <c r="C125" s="28" t="s">
        <v>1756</v>
      </c>
      <c r="H125" s="28"/>
    </row>
    <row r="126" spans="1:8" x14ac:dyDescent="0.25">
      <c r="A126" s="28">
        <v>6</v>
      </c>
      <c r="B126" s="28" t="s">
        <v>1765</v>
      </c>
      <c r="C126" s="28" t="s">
        <v>1766</v>
      </c>
      <c r="H126" s="28"/>
    </row>
    <row r="127" spans="1:8" x14ac:dyDescent="0.25">
      <c r="A127" s="28">
        <v>149</v>
      </c>
      <c r="B127" s="28" t="s">
        <v>1767</v>
      </c>
      <c r="C127" s="28" t="s">
        <v>1768</v>
      </c>
      <c r="H127" s="28"/>
    </row>
    <row r="128" spans="1:8" x14ac:dyDescent="0.25">
      <c r="A128" s="28">
        <v>151</v>
      </c>
      <c r="B128" s="28" t="s">
        <v>1769</v>
      </c>
      <c r="C128" s="28" t="s">
        <v>1770</v>
      </c>
      <c r="H128" s="28"/>
    </row>
    <row r="129" spans="1:8" x14ac:dyDescent="0.25">
      <c r="A129" s="28">
        <v>150</v>
      </c>
      <c r="B129" s="28" t="s">
        <v>1771</v>
      </c>
      <c r="C129" s="28" t="s">
        <v>1768</v>
      </c>
      <c r="H129" s="28"/>
    </row>
    <row r="130" spans="1:8" x14ac:dyDescent="0.25">
      <c r="A130" s="28">
        <v>48</v>
      </c>
      <c r="B130" s="28" t="s">
        <v>1772</v>
      </c>
      <c r="C130" s="28" t="s">
        <v>1773</v>
      </c>
      <c r="H130" s="28"/>
    </row>
    <row r="131" spans="1:8" x14ac:dyDescent="0.25">
      <c r="A131" s="28">
        <v>148</v>
      </c>
      <c r="B131" s="28" t="s">
        <v>1774</v>
      </c>
      <c r="C131" s="28" t="s">
        <v>1773</v>
      </c>
      <c r="H131" s="28"/>
    </row>
    <row r="132" spans="1:8" x14ac:dyDescent="0.25">
      <c r="A132" s="28">
        <v>77</v>
      </c>
      <c r="B132" s="28" t="s">
        <v>1775</v>
      </c>
      <c r="C132" s="28" t="s">
        <v>1770</v>
      </c>
      <c r="H132" s="28"/>
    </row>
    <row r="133" spans="1:8" x14ac:dyDescent="0.25">
      <c r="A133" s="28">
        <v>64</v>
      </c>
      <c r="B133" s="28" t="s">
        <v>1776</v>
      </c>
      <c r="C133" s="28" t="s">
        <v>1777</v>
      </c>
      <c r="H133" s="28"/>
    </row>
    <row r="134" spans="1:8" x14ac:dyDescent="0.25">
      <c r="A134" s="28">
        <v>189</v>
      </c>
      <c r="B134" s="28" t="s">
        <v>1778</v>
      </c>
      <c r="C134" s="28" t="s">
        <v>1779</v>
      </c>
      <c r="H134" s="28"/>
    </row>
    <row r="135" spans="1:8" x14ac:dyDescent="0.25">
      <c r="A135" s="28">
        <v>65</v>
      </c>
      <c r="B135" s="28" t="s">
        <v>1780</v>
      </c>
      <c r="C135" s="28" t="s">
        <v>1781</v>
      </c>
      <c r="H135" s="28"/>
    </row>
    <row r="136" spans="1:8" x14ac:dyDescent="0.25">
      <c r="A136" s="28">
        <v>251</v>
      </c>
      <c r="B136" s="28" t="s">
        <v>1782</v>
      </c>
      <c r="C136" s="28" t="s">
        <v>1783</v>
      </c>
      <c r="H136" s="28"/>
    </row>
    <row r="137" spans="1:8" x14ac:dyDescent="0.25">
      <c r="A137" s="28">
        <v>75</v>
      </c>
      <c r="B137" s="28" t="s">
        <v>1784</v>
      </c>
      <c r="C137" s="28" t="s">
        <v>1773</v>
      </c>
      <c r="H137" s="28"/>
    </row>
    <row r="138" spans="1:8" x14ac:dyDescent="0.25">
      <c r="A138" s="28">
        <v>59</v>
      </c>
      <c r="B138" s="28" t="s">
        <v>1785</v>
      </c>
      <c r="C138" s="28" t="s">
        <v>1786</v>
      </c>
      <c r="H138" s="28"/>
    </row>
    <row r="139" spans="1:8" x14ac:dyDescent="0.25">
      <c r="A139" s="28">
        <v>310</v>
      </c>
      <c r="B139" s="28" t="s">
        <v>1787</v>
      </c>
      <c r="C139" s="28" t="s">
        <v>1788</v>
      </c>
      <c r="H139" s="28"/>
    </row>
    <row r="140" spans="1:8" x14ac:dyDescent="0.25">
      <c r="A140" s="28">
        <v>311</v>
      </c>
      <c r="B140" s="28" t="s">
        <v>1789</v>
      </c>
      <c r="C140" s="28" t="s">
        <v>1790</v>
      </c>
      <c r="H140" s="28"/>
    </row>
    <row r="141" spans="1:8" x14ac:dyDescent="0.25">
      <c r="A141" s="28">
        <v>195</v>
      </c>
      <c r="B141" s="28" t="s">
        <v>1791</v>
      </c>
      <c r="C141" s="28" t="s">
        <v>1792</v>
      </c>
      <c r="H141" s="28"/>
    </row>
    <row r="142" spans="1:8" x14ac:dyDescent="0.25">
      <c r="A142" s="28">
        <v>49</v>
      </c>
      <c r="B142" s="28" t="s">
        <v>1793</v>
      </c>
      <c r="C142" s="28" t="s">
        <v>1792</v>
      </c>
      <c r="H142" s="28"/>
    </row>
    <row r="143" spans="1:8" x14ac:dyDescent="0.25">
      <c r="A143" s="28">
        <v>50</v>
      </c>
      <c r="B143" s="28" t="s">
        <v>1794</v>
      </c>
      <c r="C143" s="28" t="s">
        <v>1795</v>
      </c>
      <c r="H143" s="28"/>
    </row>
    <row r="144" spans="1:8" x14ac:dyDescent="0.25">
      <c r="A144" s="28">
        <v>38</v>
      </c>
      <c r="B144" s="28" t="s">
        <v>1796</v>
      </c>
      <c r="C144" s="28" t="s">
        <v>1797</v>
      </c>
      <c r="H144" s="28"/>
    </row>
    <row r="145" spans="1:8" x14ac:dyDescent="0.25">
      <c r="A145" s="28">
        <v>70</v>
      </c>
      <c r="B145" s="28" t="s">
        <v>1798</v>
      </c>
      <c r="C145" s="28" t="s">
        <v>1799</v>
      </c>
      <c r="H145" s="28"/>
    </row>
    <row r="146" spans="1:8" x14ac:dyDescent="0.25">
      <c r="A146" s="28">
        <v>231</v>
      </c>
      <c r="B146" s="28" t="s">
        <v>1800</v>
      </c>
      <c r="C146" s="28" t="s">
        <v>1797</v>
      </c>
      <c r="H146" s="28"/>
    </row>
    <row r="147" spans="1:8" x14ac:dyDescent="0.25">
      <c r="A147" s="28">
        <v>343</v>
      </c>
      <c r="B147" s="28" t="s">
        <v>1801</v>
      </c>
      <c r="C147" s="28" t="s">
        <v>1802</v>
      </c>
      <c r="H147" s="28"/>
    </row>
    <row r="148" spans="1:8" x14ac:dyDescent="0.25">
      <c r="A148" s="28">
        <v>240</v>
      </c>
      <c r="B148" s="28" t="s">
        <v>1803</v>
      </c>
      <c r="C148" s="28" t="s">
        <v>1804</v>
      </c>
      <c r="H148" s="28"/>
    </row>
    <row r="149" spans="1:8" x14ac:dyDescent="0.25">
      <c r="A149" s="28">
        <v>242</v>
      </c>
      <c r="B149" s="28" t="s">
        <v>1805</v>
      </c>
      <c r="C149" s="28" t="s">
        <v>1797</v>
      </c>
      <c r="H149" s="28"/>
    </row>
    <row r="150" spans="1:8" x14ac:dyDescent="0.25">
      <c r="A150" s="28">
        <v>239</v>
      </c>
      <c r="B150" s="28" t="s">
        <v>1806</v>
      </c>
      <c r="C150" s="28" t="s">
        <v>1807</v>
      </c>
      <c r="H150" s="28"/>
    </row>
    <row r="151" spans="1:8" x14ac:dyDescent="0.25">
      <c r="A151" s="28">
        <v>241</v>
      </c>
      <c r="B151" s="28" t="s">
        <v>1808</v>
      </c>
      <c r="C151" s="28" t="s">
        <v>1809</v>
      </c>
      <c r="H151" s="28"/>
    </row>
    <row r="152" spans="1:8" x14ac:dyDescent="0.25">
      <c r="A152" s="28">
        <v>57</v>
      </c>
      <c r="B152" s="28" t="s">
        <v>1810</v>
      </c>
      <c r="C152" s="28" t="s">
        <v>1811</v>
      </c>
      <c r="H152" s="28"/>
    </row>
    <row r="153" spans="1:8" x14ac:dyDescent="0.25">
      <c r="A153" s="28">
        <v>327</v>
      </c>
      <c r="B153" s="28" t="s">
        <v>1812</v>
      </c>
      <c r="C153" s="28" t="s">
        <v>1811</v>
      </c>
      <c r="H153" s="28"/>
    </row>
    <row r="154" spans="1:8" x14ac:dyDescent="0.25">
      <c r="A154" s="28">
        <v>62</v>
      </c>
      <c r="B154" s="28" t="s">
        <v>1813</v>
      </c>
      <c r="C154" s="28" t="s">
        <v>1814</v>
      </c>
      <c r="H154" s="28"/>
    </row>
    <row r="155" spans="1:8" x14ac:dyDescent="0.25">
      <c r="A155" s="28">
        <v>32</v>
      </c>
      <c r="B155" s="28" t="s">
        <v>1815</v>
      </c>
      <c r="C155" s="28" t="s">
        <v>1811</v>
      </c>
      <c r="H155" s="28"/>
    </row>
    <row r="156" spans="1:8" x14ac:dyDescent="0.25">
      <c r="A156" s="28">
        <v>246</v>
      </c>
      <c r="B156" s="28" t="s">
        <v>1816</v>
      </c>
      <c r="C156" s="28" t="s">
        <v>1799</v>
      </c>
      <c r="H156" s="28"/>
    </row>
    <row r="157" spans="1:8" x14ac:dyDescent="0.25">
      <c r="A157" s="28">
        <v>194</v>
      </c>
      <c r="B157" s="28" t="s">
        <v>1817</v>
      </c>
      <c r="C157" s="28" t="s">
        <v>1818</v>
      </c>
      <c r="H157" s="28"/>
    </row>
    <row r="158" spans="1:8" x14ac:dyDescent="0.25">
      <c r="A158" s="28">
        <v>26</v>
      </c>
      <c r="B158" s="28" t="s">
        <v>1819</v>
      </c>
      <c r="C158" s="28" t="s">
        <v>1818</v>
      </c>
      <c r="H158" s="28"/>
    </row>
    <row r="159" spans="1:8" x14ac:dyDescent="0.25">
      <c r="A159" s="28">
        <v>305</v>
      </c>
      <c r="B159" s="28" t="s">
        <v>1820</v>
      </c>
      <c r="C159" s="28" t="s">
        <v>1818</v>
      </c>
      <c r="H159" s="28"/>
    </row>
    <row r="160" spans="1:8" x14ac:dyDescent="0.25">
      <c r="A160" s="28">
        <v>304</v>
      </c>
      <c r="B160" s="28" t="s">
        <v>1821</v>
      </c>
      <c r="C160" s="28" t="s">
        <v>1818</v>
      </c>
      <c r="H160" s="28"/>
    </row>
    <row r="161" spans="1:8" x14ac:dyDescent="0.25">
      <c r="A161" s="28">
        <v>24</v>
      </c>
      <c r="B161" s="28" t="s">
        <v>1822</v>
      </c>
      <c r="C161" s="28" t="s">
        <v>1823</v>
      </c>
      <c r="H161" s="28"/>
    </row>
    <row r="162" spans="1:8" x14ac:dyDescent="0.25">
      <c r="A162" s="28">
        <v>56</v>
      </c>
      <c r="B162" s="28" t="s">
        <v>1824</v>
      </c>
      <c r="C162" s="28" t="s">
        <v>1825</v>
      </c>
      <c r="H162" s="28"/>
    </row>
    <row r="163" spans="1:8" x14ac:dyDescent="0.25">
      <c r="A163" s="28">
        <v>11</v>
      </c>
      <c r="B163" s="28" t="s">
        <v>1826</v>
      </c>
      <c r="C163" s="28" t="s">
        <v>1795</v>
      </c>
      <c r="H163" s="28"/>
    </row>
    <row r="164" spans="1:8" x14ac:dyDescent="0.25">
      <c r="A164" s="28">
        <v>58</v>
      </c>
      <c r="B164" s="28" t="s">
        <v>1827</v>
      </c>
      <c r="C164" s="28" t="s">
        <v>1828</v>
      </c>
      <c r="H164" s="28"/>
    </row>
    <row r="165" spans="1:8" x14ac:dyDescent="0.25">
      <c r="A165" s="28">
        <v>408</v>
      </c>
      <c r="B165" s="28" t="s">
        <v>1829</v>
      </c>
      <c r="C165" s="28" t="s">
        <v>1830</v>
      </c>
      <c r="H165" s="28"/>
    </row>
    <row r="166" spans="1:8" x14ac:dyDescent="0.25">
      <c r="A166" s="28">
        <v>19</v>
      </c>
      <c r="B166" s="28" t="s">
        <v>1831</v>
      </c>
      <c r="C166" s="28" t="s">
        <v>1795</v>
      </c>
      <c r="H166" s="28"/>
    </row>
    <row r="167" spans="1:8" x14ac:dyDescent="0.25">
      <c r="A167" s="28">
        <v>316</v>
      </c>
      <c r="B167" s="28" t="s">
        <v>1832</v>
      </c>
      <c r="C167" s="28" t="s">
        <v>1833</v>
      </c>
      <c r="H167" s="28"/>
    </row>
    <row r="168" spans="1:8" x14ac:dyDescent="0.25">
      <c r="A168" s="28">
        <v>317</v>
      </c>
      <c r="B168" s="28" t="s">
        <v>1834</v>
      </c>
      <c r="C168" s="28" t="s">
        <v>1833</v>
      </c>
      <c r="H168" s="28"/>
    </row>
    <row r="169" spans="1:8" x14ac:dyDescent="0.25">
      <c r="A169" s="28">
        <v>133</v>
      </c>
      <c r="B169" s="28" t="s">
        <v>1835</v>
      </c>
      <c r="C169" s="28" t="s">
        <v>1795</v>
      </c>
      <c r="H169" s="28"/>
    </row>
    <row r="170" spans="1:8" x14ac:dyDescent="0.25">
      <c r="A170" s="28">
        <v>134</v>
      </c>
      <c r="B170" s="28" t="s">
        <v>1836</v>
      </c>
      <c r="C170" s="28" t="s">
        <v>1795</v>
      </c>
      <c r="H170" s="28"/>
    </row>
    <row r="171" spans="1:8" x14ac:dyDescent="0.25">
      <c r="A171" s="28">
        <v>213</v>
      </c>
      <c r="B171" s="28" t="s">
        <v>1837</v>
      </c>
      <c r="C171" s="28" t="s">
        <v>1795</v>
      </c>
      <c r="H171" s="28"/>
    </row>
    <row r="172" spans="1:8" x14ac:dyDescent="0.25">
      <c r="A172" s="28">
        <v>212</v>
      </c>
      <c r="B172" s="28" t="s">
        <v>1838</v>
      </c>
      <c r="C172" s="28" t="s">
        <v>1839</v>
      </c>
      <c r="H172" s="28"/>
    </row>
    <row r="173" spans="1:8" x14ac:dyDescent="0.25">
      <c r="A173" s="28">
        <v>93</v>
      </c>
      <c r="B173" s="28" t="s">
        <v>1840</v>
      </c>
      <c r="C173" s="28" t="s">
        <v>1841</v>
      </c>
      <c r="H173" s="28"/>
    </row>
    <row r="174" spans="1:8" x14ac:dyDescent="0.25">
      <c r="A174" s="28">
        <v>80</v>
      </c>
      <c r="B174" s="28" t="s">
        <v>1842</v>
      </c>
      <c r="C174" s="28" t="s">
        <v>1843</v>
      </c>
      <c r="H174" s="28"/>
    </row>
    <row r="175" spans="1:8" x14ac:dyDescent="0.25">
      <c r="A175" s="28">
        <v>220</v>
      </c>
      <c r="B175" s="28" t="s">
        <v>1844</v>
      </c>
      <c r="C175" s="28" t="s">
        <v>1845</v>
      </c>
      <c r="H175" s="28"/>
    </row>
    <row r="176" spans="1:8" x14ac:dyDescent="0.25">
      <c r="A176" s="28">
        <v>362</v>
      </c>
      <c r="B176" s="28" t="s">
        <v>1846</v>
      </c>
      <c r="C176" s="28" t="s">
        <v>1847</v>
      </c>
      <c r="H176" s="28"/>
    </row>
    <row r="177" spans="1:8" x14ac:dyDescent="0.25">
      <c r="A177" s="28">
        <v>350</v>
      </c>
      <c r="B177" s="28" t="s">
        <v>1848</v>
      </c>
      <c r="C177" s="28" t="s">
        <v>1849</v>
      </c>
      <c r="H177" s="28"/>
    </row>
    <row r="178" spans="1:8" x14ac:dyDescent="0.25">
      <c r="A178" s="28">
        <v>351</v>
      </c>
      <c r="B178" s="28" t="s">
        <v>1850</v>
      </c>
      <c r="C178" s="28" t="s">
        <v>1851</v>
      </c>
      <c r="H178" s="28"/>
    </row>
    <row r="179" spans="1:8" x14ac:dyDescent="0.25">
      <c r="A179" s="28">
        <v>363</v>
      </c>
      <c r="B179" s="28" t="s">
        <v>1852</v>
      </c>
      <c r="C179" s="28" t="s">
        <v>1853</v>
      </c>
      <c r="H179" s="28"/>
    </row>
    <row r="180" spans="1:8" x14ac:dyDescent="0.25">
      <c r="A180" s="28">
        <v>354</v>
      </c>
      <c r="B180" s="28" t="s">
        <v>1854</v>
      </c>
      <c r="C180" s="28" t="s">
        <v>1855</v>
      </c>
      <c r="H180" s="28"/>
    </row>
    <row r="181" spans="1:8" x14ac:dyDescent="0.25">
      <c r="A181" s="28">
        <v>353</v>
      </c>
      <c r="B181" s="28" t="s">
        <v>1856</v>
      </c>
      <c r="C181" s="28" t="s">
        <v>1855</v>
      </c>
      <c r="H181" s="28"/>
    </row>
    <row r="182" spans="1:8" x14ac:dyDescent="0.25">
      <c r="A182" s="28">
        <v>352</v>
      </c>
      <c r="B182" s="28" t="s">
        <v>1857</v>
      </c>
      <c r="C182" s="28" t="s">
        <v>1855</v>
      </c>
      <c r="H182" s="28"/>
    </row>
    <row r="183" spans="1:8" x14ac:dyDescent="0.25">
      <c r="A183" s="28">
        <v>120</v>
      </c>
      <c r="B183" s="28" t="s">
        <v>1858</v>
      </c>
      <c r="C183" s="28" t="s">
        <v>1859</v>
      </c>
      <c r="H183" s="28"/>
    </row>
    <row r="184" spans="1:8" x14ac:dyDescent="0.25">
      <c r="A184" s="28">
        <v>326</v>
      </c>
      <c r="B184" s="28" t="s">
        <v>1860</v>
      </c>
      <c r="C184" s="28" t="s">
        <v>1855</v>
      </c>
      <c r="H184" s="28"/>
    </row>
    <row r="185" spans="1:8" x14ac:dyDescent="0.25">
      <c r="A185" s="28">
        <v>4</v>
      </c>
      <c r="B185" s="28" t="s">
        <v>1861</v>
      </c>
      <c r="C185" s="28" t="s">
        <v>1847</v>
      </c>
      <c r="H185" s="28"/>
    </row>
    <row r="186" spans="1:8" x14ac:dyDescent="0.25">
      <c r="A186" s="28">
        <v>79</v>
      </c>
      <c r="B186" s="28" t="s">
        <v>1862</v>
      </c>
      <c r="C186" s="28" t="s">
        <v>1847</v>
      </c>
      <c r="H186" s="28"/>
    </row>
    <row r="187" spans="1:8" x14ac:dyDescent="0.25">
      <c r="A187" s="28">
        <v>366</v>
      </c>
      <c r="B187" s="28" t="s">
        <v>1863</v>
      </c>
      <c r="C187" s="28" t="s">
        <v>1864</v>
      </c>
      <c r="H187" s="28"/>
    </row>
    <row r="188" spans="1:8" x14ac:dyDescent="0.25">
      <c r="A188" s="28">
        <v>365</v>
      </c>
      <c r="B188" s="28" t="s">
        <v>1865</v>
      </c>
      <c r="C188" s="28" t="s">
        <v>1864</v>
      </c>
      <c r="H188" s="28"/>
    </row>
    <row r="189" spans="1:8" x14ac:dyDescent="0.25">
      <c r="A189" s="28">
        <v>84</v>
      </c>
      <c r="B189" s="28" t="s">
        <v>1866</v>
      </c>
      <c r="C189" s="28" t="s">
        <v>1867</v>
      </c>
      <c r="H189" s="28"/>
    </row>
    <row r="190" spans="1:8" x14ac:dyDescent="0.25">
      <c r="A190" s="28">
        <v>96</v>
      </c>
      <c r="B190" s="28" t="s">
        <v>1868</v>
      </c>
      <c r="C190" s="28" t="s">
        <v>1847</v>
      </c>
      <c r="H190" s="28"/>
    </row>
    <row r="191" spans="1:8" x14ac:dyDescent="0.25">
      <c r="A191" s="28">
        <v>29</v>
      </c>
      <c r="B191" s="28" t="s">
        <v>1869</v>
      </c>
      <c r="C191" s="28" t="s">
        <v>1847</v>
      </c>
      <c r="H191" s="28"/>
    </row>
    <row r="192" spans="1:8" x14ac:dyDescent="0.25">
      <c r="A192" s="28">
        <v>18</v>
      </c>
      <c r="B192" s="28" t="s">
        <v>1870</v>
      </c>
      <c r="C192" s="28" t="s">
        <v>1847</v>
      </c>
      <c r="H192" s="28"/>
    </row>
    <row r="193" spans="1:8" x14ac:dyDescent="0.25">
      <c r="A193" s="28">
        <v>92</v>
      </c>
      <c r="B193" s="28" t="s">
        <v>1871</v>
      </c>
      <c r="C193" s="28" t="s">
        <v>1847</v>
      </c>
      <c r="H193" s="28"/>
    </row>
    <row r="194" spans="1:8" x14ac:dyDescent="0.25">
      <c r="A194" s="28">
        <v>228</v>
      </c>
      <c r="B194" s="28" t="s">
        <v>1872</v>
      </c>
      <c r="C194" s="28" t="s">
        <v>1873</v>
      </c>
      <c r="H194" s="28"/>
    </row>
    <row r="195" spans="1:8" x14ac:dyDescent="0.25">
      <c r="A195" s="28">
        <v>34</v>
      </c>
      <c r="B195" s="28" t="s">
        <v>1874</v>
      </c>
      <c r="C195" s="28" t="s">
        <v>1851</v>
      </c>
      <c r="H195" s="28"/>
    </row>
    <row r="196" spans="1:8" x14ac:dyDescent="0.25">
      <c r="A196" s="28">
        <v>33</v>
      </c>
      <c r="B196" s="28" t="s">
        <v>1875</v>
      </c>
      <c r="C196" s="28" t="s">
        <v>1876</v>
      </c>
      <c r="H196" s="28"/>
    </row>
    <row r="197" spans="1:8" x14ac:dyDescent="0.25">
      <c r="A197" s="28">
        <v>85</v>
      </c>
      <c r="B197" s="28" t="s">
        <v>1877</v>
      </c>
      <c r="C197" s="28" t="s">
        <v>1878</v>
      </c>
      <c r="H197" s="28"/>
    </row>
    <row r="198" spans="1:8" x14ac:dyDescent="0.25">
      <c r="A198" s="28">
        <v>135</v>
      </c>
      <c r="B198" s="28" t="s">
        <v>1879</v>
      </c>
      <c r="C198" s="28" t="s">
        <v>1855</v>
      </c>
      <c r="H198" s="28"/>
    </row>
    <row r="199" spans="1:8" x14ac:dyDescent="0.25">
      <c r="A199" s="28">
        <v>136</v>
      </c>
      <c r="B199" s="28" t="s">
        <v>1880</v>
      </c>
      <c r="C199" s="28" t="s">
        <v>1855</v>
      </c>
      <c r="H199" s="28"/>
    </row>
    <row r="200" spans="1:8" x14ac:dyDescent="0.25">
      <c r="A200" s="28">
        <v>167</v>
      </c>
      <c r="B200" s="28" t="s">
        <v>1881</v>
      </c>
      <c r="C200" s="28" t="s">
        <v>1855</v>
      </c>
      <c r="H200" s="28"/>
    </row>
    <row r="201" spans="1:8" x14ac:dyDescent="0.25">
      <c r="A201" s="28">
        <v>90</v>
      </c>
      <c r="B201" s="28" t="s">
        <v>1882</v>
      </c>
      <c r="C201" s="28" t="s">
        <v>1855</v>
      </c>
      <c r="H201" s="28"/>
    </row>
    <row r="202" spans="1:8" x14ac:dyDescent="0.25">
      <c r="A202" s="28">
        <v>122</v>
      </c>
      <c r="B202" s="28" t="s">
        <v>1883</v>
      </c>
      <c r="C202" s="28" t="s">
        <v>1884</v>
      </c>
      <c r="H202" s="28"/>
    </row>
    <row r="203" spans="1:8" x14ac:dyDescent="0.25">
      <c r="A203" s="28">
        <v>349</v>
      </c>
      <c r="B203" s="28" t="s">
        <v>1885</v>
      </c>
      <c r="C203" s="28" t="s">
        <v>1855</v>
      </c>
      <c r="H203" s="28"/>
    </row>
    <row r="204" spans="1:8" x14ac:dyDescent="0.25">
      <c r="A204" s="28">
        <v>348</v>
      </c>
      <c r="B204" s="28" t="s">
        <v>1886</v>
      </c>
      <c r="C204" s="28" t="s">
        <v>1855</v>
      </c>
      <c r="H204" s="28"/>
    </row>
    <row r="205" spans="1:8" x14ac:dyDescent="0.25">
      <c r="A205" s="28">
        <v>2</v>
      </c>
      <c r="B205" s="28" t="s">
        <v>1887</v>
      </c>
      <c r="C205" s="28" t="s">
        <v>1855</v>
      </c>
      <c r="H205" s="28"/>
    </row>
    <row r="206" spans="1:8" x14ac:dyDescent="0.25">
      <c r="A206" s="28">
        <v>125</v>
      </c>
      <c r="B206" s="28" t="s">
        <v>1888</v>
      </c>
      <c r="C206" s="28" t="s">
        <v>1855</v>
      </c>
      <c r="H206" s="28"/>
    </row>
    <row r="207" spans="1:8" x14ac:dyDescent="0.25">
      <c r="A207" s="28">
        <v>357</v>
      </c>
      <c r="B207" s="28" t="s">
        <v>1889</v>
      </c>
      <c r="C207" s="28" t="s">
        <v>1890</v>
      </c>
      <c r="H207" s="28"/>
    </row>
    <row r="208" spans="1:8" x14ac:dyDescent="0.25">
      <c r="A208" s="28">
        <v>289</v>
      </c>
      <c r="B208" s="28" t="s">
        <v>1891</v>
      </c>
      <c r="C208" s="28" t="s">
        <v>1890</v>
      </c>
      <c r="H208" s="28"/>
    </row>
    <row r="209" spans="1:8" x14ac:dyDescent="0.25">
      <c r="A209" s="28">
        <v>402</v>
      </c>
      <c r="B209" s="28" t="s">
        <v>1892</v>
      </c>
      <c r="C209" s="28" t="s">
        <v>1893</v>
      </c>
      <c r="H209" s="28"/>
    </row>
    <row r="210" spans="1:8" x14ac:dyDescent="0.25">
      <c r="A210" s="28">
        <v>355</v>
      </c>
      <c r="B210" s="28" t="s">
        <v>1894</v>
      </c>
      <c r="C210" s="28" t="s">
        <v>1890</v>
      </c>
      <c r="H210" s="28"/>
    </row>
    <row r="211" spans="1:8" x14ac:dyDescent="0.25">
      <c r="A211" s="28">
        <v>403</v>
      </c>
      <c r="B211" s="28" t="s">
        <v>1895</v>
      </c>
      <c r="C211" s="28" t="s">
        <v>1896</v>
      </c>
      <c r="H211" s="28"/>
    </row>
    <row r="212" spans="1:8" x14ac:dyDescent="0.25">
      <c r="A212" s="28">
        <v>356</v>
      </c>
      <c r="B212" s="28" t="s">
        <v>1897</v>
      </c>
      <c r="C212" s="28" t="s">
        <v>1890</v>
      </c>
      <c r="H212" s="28"/>
    </row>
    <row r="213" spans="1:8" x14ac:dyDescent="0.25">
      <c r="A213" s="28">
        <v>358</v>
      </c>
      <c r="B213" s="28" t="s">
        <v>1898</v>
      </c>
      <c r="C213" s="28" t="s">
        <v>1899</v>
      </c>
      <c r="H213" s="28"/>
    </row>
    <row r="214" spans="1:8" x14ac:dyDescent="0.25">
      <c r="A214" s="28">
        <v>359</v>
      </c>
      <c r="B214" s="28" t="s">
        <v>1900</v>
      </c>
      <c r="C214" s="28" t="s">
        <v>1899</v>
      </c>
      <c r="H214" s="28"/>
    </row>
    <row r="215" spans="1:8" x14ac:dyDescent="0.25">
      <c r="A215" s="28">
        <v>400</v>
      </c>
      <c r="B215" s="28" t="s">
        <v>1901</v>
      </c>
      <c r="C215" s="28" t="s">
        <v>1884</v>
      </c>
      <c r="H215" s="28"/>
    </row>
    <row r="216" spans="1:8" x14ac:dyDescent="0.25">
      <c r="A216" s="28">
        <v>401</v>
      </c>
      <c r="B216" s="28" t="s">
        <v>1902</v>
      </c>
      <c r="C216" s="28" t="s">
        <v>1884</v>
      </c>
      <c r="H216" s="28"/>
    </row>
    <row r="217" spans="1:8" x14ac:dyDescent="0.25">
      <c r="A217" s="28">
        <v>399</v>
      </c>
      <c r="B217" s="28" t="s">
        <v>1903</v>
      </c>
      <c r="C217" s="28" t="s">
        <v>1899</v>
      </c>
      <c r="H217" s="28"/>
    </row>
    <row r="218" spans="1:8" x14ac:dyDescent="0.25">
      <c r="A218" s="28">
        <v>498</v>
      </c>
      <c r="B218" s="28" t="s">
        <v>1904</v>
      </c>
      <c r="C218" s="28" t="s">
        <v>1905</v>
      </c>
      <c r="H218" s="28"/>
    </row>
    <row r="219" spans="1:8" x14ac:dyDescent="0.25">
      <c r="A219" s="28">
        <v>81</v>
      </c>
      <c r="B219" s="28" t="s">
        <v>1906</v>
      </c>
      <c r="C219" s="28" t="s">
        <v>1849</v>
      </c>
      <c r="H219" s="28"/>
    </row>
    <row r="220" spans="1:8" x14ac:dyDescent="0.25">
      <c r="A220" s="28">
        <v>27</v>
      </c>
      <c r="B220" s="28" t="s">
        <v>1907</v>
      </c>
      <c r="C220" s="28" t="s">
        <v>1849</v>
      </c>
      <c r="H220" s="28"/>
    </row>
    <row r="221" spans="1:8" x14ac:dyDescent="0.25">
      <c r="A221" s="28">
        <v>137</v>
      </c>
      <c r="B221" s="28" t="s">
        <v>1908</v>
      </c>
      <c r="C221" s="28" t="s">
        <v>1893</v>
      </c>
      <c r="H221" s="28"/>
    </row>
    <row r="222" spans="1:8" x14ac:dyDescent="0.25">
      <c r="A222" s="28">
        <v>37</v>
      </c>
      <c r="B222" s="28" t="s">
        <v>1909</v>
      </c>
      <c r="C222" s="28" t="s">
        <v>1910</v>
      </c>
      <c r="H222" s="28"/>
    </row>
    <row r="223" spans="1:8" x14ac:dyDescent="0.25">
      <c r="A223" s="28">
        <v>35</v>
      </c>
      <c r="B223" s="28" t="s">
        <v>1911</v>
      </c>
      <c r="C223" s="28" t="s">
        <v>1910</v>
      </c>
      <c r="H223" s="28"/>
    </row>
    <row r="224" spans="1:8" x14ac:dyDescent="0.25">
      <c r="A224" s="28">
        <v>138</v>
      </c>
      <c r="B224" s="28" t="s">
        <v>1912</v>
      </c>
      <c r="C224" s="28" t="s">
        <v>1913</v>
      </c>
      <c r="H224" s="28"/>
    </row>
    <row r="225" spans="1:8" x14ac:dyDescent="0.25">
      <c r="A225" s="28">
        <v>51</v>
      </c>
      <c r="B225" s="28" t="s">
        <v>1914</v>
      </c>
      <c r="C225" s="28" t="s">
        <v>1905</v>
      </c>
      <c r="H225" s="28"/>
    </row>
    <row r="226" spans="1:8" x14ac:dyDescent="0.25">
      <c r="A226" s="28">
        <v>3</v>
      </c>
      <c r="B226" s="28" t="s">
        <v>1915</v>
      </c>
      <c r="C226" s="28" t="s">
        <v>1849</v>
      </c>
      <c r="H226" s="28"/>
    </row>
    <row r="227" spans="1:8" x14ac:dyDescent="0.25">
      <c r="A227" s="28">
        <v>5</v>
      </c>
      <c r="B227" s="28" t="s">
        <v>1916</v>
      </c>
      <c r="C227" s="28" t="s">
        <v>1893</v>
      </c>
      <c r="H227" s="28"/>
    </row>
    <row r="228" spans="1:8" x14ac:dyDescent="0.25">
      <c r="A228" s="28">
        <v>52</v>
      </c>
      <c r="B228" s="28" t="s">
        <v>1917</v>
      </c>
      <c r="C228" s="28" t="s">
        <v>1918</v>
      </c>
      <c r="H228" s="28"/>
    </row>
    <row r="229" spans="1:8" x14ac:dyDescent="0.25">
      <c r="A229" s="28">
        <v>15</v>
      </c>
      <c r="B229" s="28" t="s">
        <v>1919</v>
      </c>
      <c r="C229" s="28" t="s">
        <v>1913</v>
      </c>
      <c r="H229" s="28"/>
    </row>
    <row r="230" spans="1:8" x14ac:dyDescent="0.25">
      <c r="A230" s="28">
        <v>14</v>
      </c>
      <c r="B230" s="28" t="s">
        <v>1920</v>
      </c>
      <c r="C230" s="28" t="s">
        <v>1759</v>
      </c>
      <c r="H230" s="28"/>
    </row>
    <row r="231" spans="1:8" x14ac:dyDescent="0.25">
      <c r="A231" s="28">
        <v>344</v>
      </c>
      <c r="B231" s="28" t="s">
        <v>1921</v>
      </c>
      <c r="C231" s="28" t="s">
        <v>1922</v>
      </c>
      <c r="H231" s="28"/>
    </row>
    <row r="232" spans="1:8" x14ac:dyDescent="0.25">
      <c r="A232" s="28">
        <v>345</v>
      </c>
      <c r="B232" s="28" t="s">
        <v>1923</v>
      </c>
      <c r="C232" s="28" t="s">
        <v>1922</v>
      </c>
      <c r="H232" s="28"/>
    </row>
    <row r="233" spans="1:8" x14ac:dyDescent="0.25">
      <c r="A233" s="28">
        <v>407</v>
      </c>
      <c r="B233" s="28" t="s">
        <v>1924</v>
      </c>
      <c r="C233" s="28" t="s">
        <v>1925</v>
      </c>
      <c r="H233" s="28"/>
    </row>
    <row r="234" spans="1:8" x14ac:dyDescent="0.25">
      <c r="A234" s="28">
        <v>406</v>
      </c>
      <c r="B234" s="28" t="s">
        <v>1926</v>
      </c>
      <c r="C234" s="28" t="s">
        <v>1927</v>
      </c>
      <c r="H234" s="28"/>
    </row>
    <row r="235" spans="1:8" x14ac:dyDescent="0.25">
      <c r="A235" s="28">
        <v>405</v>
      </c>
      <c r="B235" s="28" t="s">
        <v>1928</v>
      </c>
      <c r="C235" s="28" t="s">
        <v>1929</v>
      </c>
      <c r="H235" s="28"/>
    </row>
    <row r="236" spans="1:8" x14ac:dyDescent="0.25">
      <c r="A236" s="28">
        <v>404</v>
      </c>
      <c r="B236" s="28" t="s">
        <v>1930</v>
      </c>
      <c r="C236" s="28" t="s">
        <v>1931</v>
      </c>
      <c r="H236" s="28"/>
    </row>
    <row r="237" spans="1:8" x14ac:dyDescent="0.25">
      <c r="A237" s="28">
        <v>25</v>
      </c>
      <c r="B237" s="28" t="s">
        <v>1932</v>
      </c>
      <c r="C237" s="28" t="s">
        <v>1922</v>
      </c>
      <c r="H237" s="28"/>
    </row>
    <row r="238" spans="1:8" x14ac:dyDescent="0.25">
      <c r="A238" s="28">
        <v>180</v>
      </c>
      <c r="B238" s="28" t="s">
        <v>1933</v>
      </c>
      <c r="C238" s="28" t="s">
        <v>1934</v>
      </c>
      <c r="H238" s="28"/>
    </row>
    <row r="239" spans="1:8" x14ac:dyDescent="0.25">
      <c r="A239" s="28">
        <v>183</v>
      </c>
      <c r="B239" s="28" t="s">
        <v>1935</v>
      </c>
      <c r="C239" s="28" t="s">
        <v>1759</v>
      </c>
      <c r="H239" s="28"/>
    </row>
    <row r="240" spans="1:8" x14ac:dyDescent="0.25">
      <c r="A240" s="28">
        <v>126</v>
      </c>
      <c r="B240" s="28" t="s">
        <v>1936</v>
      </c>
      <c r="C240" s="28" t="s">
        <v>1934</v>
      </c>
      <c r="H240" s="28"/>
    </row>
    <row r="241" spans="1:8" x14ac:dyDescent="0.25">
      <c r="A241" s="28">
        <v>54</v>
      </c>
      <c r="B241" s="28" t="s">
        <v>1937</v>
      </c>
      <c r="C241" s="28" t="s">
        <v>1938</v>
      </c>
      <c r="H241" s="28"/>
    </row>
    <row r="242" spans="1:8" x14ac:dyDescent="0.25">
      <c r="A242" s="28">
        <v>17</v>
      </c>
      <c r="B242" s="28" t="s">
        <v>1939</v>
      </c>
      <c r="C242" s="28" t="s">
        <v>1859</v>
      </c>
      <c r="H242" s="28"/>
    </row>
    <row r="243" spans="1:8" x14ac:dyDescent="0.25">
      <c r="A243" s="28">
        <v>39</v>
      </c>
      <c r="B243" s="28" t="s">
        <v>1940</v>
      </c>
      <c r="C243" s="28" t="s">
        <v>1884</v>
      </c>
      <c r="H243" s="28"/>
    </row>
    <row r="244" spans="1:8" x14ac:dyDescent="0.25">
      <c r="A244" s="28">
        <v>40</v>
      </c>
      <c r="B244" s="28" t="s">
        <v>1941</v>
      </c>
      <c r="C244" s="28" t="s">
        <v>1942</v>
      </c>
      <c r="H244" s="28"/>
    </row>
    <row r="245" spans="1:8" x14ac:dyDescent="0.25">
      <c r="A245" s="28">
        <v>42</v>
      </c>
      <c r="B245" s="28" t="s">
        <v>1943</v>
      </c>
      <c r="C245" s="28" t="s">
        <v>1841</v>
      </c>
      <c r="H245" s="28"/>
    </row>
    <row r="246" spans="1:8" x14ac:dyDescent="0.25">
      <c r="A246" s="28">
        <v>139</v>
      </c>
      <c r="B246" s="28" t="s">
        <v>1944</v>
      </c>
      <c r="C246" s="28" t="s">
        <v>1942</v>
      </c>
      <c r="H246" s="28"/>
    </row>
    <row r="247" spans="1:8" x14ac:dyDescent="0.25">
      <c r="A247" s="28">
        <v>209</v>
      </c>
      <c r="B247" s="28" t="s">
        <v>1945</v>
      </c>
      <c r="C247" s="28" t="s">
        <v>1942</v>
      </c>
      <c r="H247" s="28"/>
    </row>
    <row r="248" spans="1:8" x14ac:dyDescent="0.25">
      <c r="A248" s="28">
        <v>290</v>
      </c>
      <c r="B248" s="28" t="s">
        <v>1946</v>
      </c>
      <c r="C248" s="28" t="s">
        <v>1947</v>
      </c>
      <c r="H248" s="28"/>
    </row>
    <row r="249" spans="1:8" x14ac:dyDescent="0.25">
      <c r="A249" s="28">
        <v>409</v>
      </c>
      <c r="B249" s="28" t="s">
        <v>1948</v>
      </c>
      <c r="C249" s="28" t="s">
        <v>1949</v>
      </c>
      <c r="H249" s="28"/>
    </row>
    <row r="250" spans="1:8" x14ac:dyDescent="0.25">
      <c r="A250" s="28">
        <v>127</v>
      </c>
      <c r="B250" s="28" t="s">
        <v>1950</v>
      </c>
      <c r="C250" s="28" t="s">
        <v>1942</v>
      </c>
      <c r="H250" s="28"/>
    </row>
    <row r="251" spans="1:8" x14ac:dyDescent="0.25">
      <c r="A251" s="28">
        <v>216</v>
      </c>
      <c r="B251" s="28" t="s">
        <v>1951</v>
      </c>
      <c r="C251" s="28" t="s">
        <v>1949</v>
      </c>
      <c r="H251" s="28"/>
    </row>
    <row r="252" spans="1:8" x14ac:dyDescent="0.25">
      <c r="A252" s="28">
        <v>208</v>
      </c>
      <c r="B252" s="28" t="s">
        <v>1952</v>
      </c>
      <c r="C252" s="28" t="s">
        <v>1949</v>
      </c>
      <c r="H252" s="28"/>
    </row>
    <row r="253" spans="1:8" x14ac:dyDescent="0.25">
      <c r="A253" s="28">
        <v>128</v>
      </c>
      <c r="B253" s="28" t="s">
        <v>1953</v>
      </c>
      <c r="C253" s="28" t="s">
        <v>1949</v>
      </c>
      <c r="H253" s="28"/>
    </row>
    <row r="254" spans="1:8" x14ac:dyDescent="0.25">
      <c r="A254" s="28">
        <v>280</v>
      </c>
      <c r="B254" s="28" t="s">
        <v>1954</v>
      </c>
      <c r="C254" s="28" t="s">
        <v>1818</v>
      </c>
      <c r="H254" s="28"/>
    </row>
    <row r="255" spans="1:8" x14ac:dyDescent="0.25">
      <c r="A255" s="28">
        <v>130</v>
      </c>
      <c r="B255" s="28" t="s">
        <v>1955</v>
      </c>
      <c r="C255" s="28" t="s">
        <v>1956</v>
      </c>
      <c r="H255" s="28"/>
    </row>
    <row r="256" spans="1:8" x14ac:dyDescent="0.25">
      <c r="A256" s="28">
        <v>43</v>
      </c>
      <c r="B256" s="28" t="s">
        <v>1957</v>
      </c>
      <c r="C256" s="28" t="s">
        <v>1949</v>
      </c>
      <c r="H256" s="28"/>
    </row>
    <row r="257" spans="1:8" x14ac:dyDescent="0.25">
      <c r="A257" s="28">
        <v>44</v>
      </c>
      <c r="B257" s="28" t="s">
        <v>1958</v>
      </c>
      <c r="C257" s="28" t="s">
        <v>1949</v>
      </c>
      <c r="H257" s="28"/>
    </row>
    <row r="258" spans="1:8" x14ac:dyDescent="0.25">
      <c r="A258" s="28">
        <v>41</v>
      </c>
      <c r="B258" s="28" t="s">
        <v>1959</v>
      </c>
      <c r="C258" s="28" t="s">
        <v>1960</v>
      </c>
      <c r="H258" s="28"/>
    </row>
    <row r="259" spans="1:8" x14ac:dyDescent="0.25">
      <c r="A259" s="28">
        <v>129</v>
      </c>
      <c r="B259" s="28" t="s">
        <v>1961</v>
      </c>
      <c r="C259" s="28" t="s">
        <v>1962</v>
      </c>
      <c r="H259" s="28"/>
    </row>
    <row r="260" spans="1:8" x14ac:dyDescent="0.25">
      <c r="A260" s="28">
        <v>234</v>
      </c>
      <c r="B260" s="28" t="s">
        <v>1963</v>
      </c>
      <c r="C260" s="28" t="s">
        <v>1964</v>
      </c>
      <c r="H260" s="28"/>
    </row>
    <row r="261" spans="1:8" x14ac:dyDescent="0.25">
      <c r="A261" s="28">
        <v>206</v>
      </c>
      <c r="B261" s="28" t="s">
        <v>1965</v>
      </c>
      <c r="C261" s="28" t="s">
        <v>1966</v>
      </c>
      <c r="H261" s="28"/>
    </row>
    <row r="262" spans="1:8" x14ac:dyDescent="0.25">
      <c r="A262" s="28">
        <v>55</v>
      </c>
      <c r="B262" s="28" t="s">
        <v>1967</v>
      </c>
      <c r="C262" s="28" t="s">
        <v>1947</v>
      </c>
      <c r="H262" s="28"/>
    </row>
    <row r="263" spans="1:8" x14ac:dyDescent="0.25">
      <c r="A263" s="28">
        <v>109</v>
      </c>
      <c r="B263" s="28" t="s">
        <v>1968</v>
      </c>
      <c r="C263" s="28" t="s">
        <v>1969</v>
      </c>
      <c r="H263" s="28"/>
    </row>
    <row r="264" spans="1:8" x14ac:dyDescent="0.25">
      <c r="A264" s="28">
        <v>236</v>
      </c>
      <c r="B264" s="28" t="s">
        <v>1970</v>
      </c>
      <c r="C264" s="28" t="s">
        <v>1971</v>
      </c>
      <c r="H264" s="28"/>
    </row>
    <row r="265" spans="1:8" x14ac:dyDescent="0.25">
      <c r="A265" s="28">
        <v>259</v>
      </c>
      <c r="B265" s="28" t="s">
        <v>1972</v>
      </c>
      <c r="C265" s="28" t="s">
        <v>1973</v>
      </c>
      <c r="H265" s="28"/>
    </row>
    <row r="266" spans="1:8" x14ac:dyDescent="0.25">
      <c r="A266" s="28">
        <v>196</v>
      </c>
      <c r="B266" s="28" t="s">
        <v>1974</v>
      </c>
      <c r="C266" s="28" t="s">
        <v>1973</v>
      </c>
      <c r="H266" s="28"/>
    </row>
    <row r="267" spans="1:8" x14ac:dyDescent="0.25">
      <c r="A267" s="28">
        <v>235</v>
      </c>
      <c r="B267" s="28" t="s">
        <v>1975</v>
      </c>
      <c r="C267" s="28" t="s">
        <v>1976</v>
      </c>
      <c r="H267" s="28"/>
    </row>
    <row r="268" spans="1:8" x14ac:dyDescent="0.25">
      <c r="A268" s="28">
        <v>86</v>
      </c>
      <c r="B268" s="28" t="s">
        <v>1977</v>
      </c>
      <c r="C268" s="28" t="s">
        <v>1839</v>
      </c>
      <c r="H268" s="28"/>
    </row>
    <row r="269" spans="1:8" x14ac:dyDescent="0.25">
      <c r="A269" s="28">
        <v>104</v>
      </c>
      <c r="B269" s="28" t="s">
        <v>1978</v>
      </c>
      <c r="C269" s="28" t="s">
        <v>1979</v>
      </c>
      <c r="H269" s="28"/>
    </row>
    <row r="270" spans="1:8" x14ac:dyDescent="0.25">
      <c r="A270" s="28">
        <v>103</v>
      </c>
      <c r="B270" s="28" t="s">
        <v>1980</v>
      </c>
      <c r="C270" s="28" t="s">
        <v>1981</v>
      </c>
      <c r="H270" s="28"/>
    </row>
    <row r="271" spans="1:8" x14ac:dyDescent="0.25">
      <c r="A271" s="28">
        <v>308</v>
      </c>
      <c r="B271" s="28" t="s">
        <v>1982</v>
      </c>
      <c r="C271" s="28" t="s">
        <v>1964</v>
      </c>
      <c r="H271" s="28"/>
    </row>
    <row r="272" spans="1:8" x14ac:dyDescent="0.25">
      <c r="A272" s="28">
        <v>191</v>
      </c>
      <c r="B272" s="28" t="s">
        <v>1983</v>
      </c>
      <c r="C272" s="28" t="s">
        <v>1984</v>
      </c>
      <c r="H272" s="28"/>
    </row>
    <row r="273" spans="1:8" x14ac:dyDescent="0.25">
      <c r="A273" s="28">
        <v>190</v>
      </c>
      <c r="B273" s="28" t="s">
        <v>1985</v>
      </c>
      <c r="C273" s="28" t="s">
        <v>1986</v>
      </c>
      <c r="H273" s="28"/>
    </row>
    <row r="274" spans="1:8" x14ac:dyDescent="0.25">
      <c r="A274" s="28">
        <v>340</v>
      </c>
      <c r="B274" s="28" t="s">
        <v>1987</v>
      </c>
      <c r="C274" s="28" t="s">
        <v>1988</v>
      </c>
      <c r="H274" s="28"/>
    </row>
    <row r="275" spans="1:8" x14ac:dyDescent="0.25">
      <c r="A275" s="28">
        <v>233</v>
      </c>
      <c r="B275" s="28" t="s">
        <v>1989</v>
      </c>
      <c r="C275" s="28" t="s">
        <v>1990</v>
      </c>
      <c r="H275" s="28"/>
    </row>
    <row r="276" spans="1:8" x14ac:dyDescent="0.25">
      <c r="A276" s="28">
        <v>232</v>
      </c>
      <c r="B276" s="28" t="s">
        <v>1991</v>
      </c>
      <c r="C276" s="28" t="s">
        <v>1988</v>
      </c>
      <c r="H276" s="28"/>
    </row>
    <row r="277" spans="1:8" x14ac:dyDescent="0.25">
      <c r="A277" s="28">
        <v>131</v>
      </c>
      <c r="B277" s="28" t="s">
        <v>1992</v>
      </c>
      <c r="C277" s="28" t="s">
        <v>1993</v>
      </c>
      <c r="H277" s="28"/>
    </row>
    <row r="278" spans="1:8" x14ac:dyDescent="0.25">
      <c r="A278" s="28">
        <v>185</v>
      </c>
      <c r="B278" s="28" t="s">
        <v>1994</v>
      </c>
      <c r="C278" s="28" t="s">
        <v>1995</v>
      </c>
      <c r="H278" s="28"/>
    </row>
    <row r="279" spans="1:8" x14ac:dyDescent="0.25">
      <c r="A279" s="28">
        <v>303</v>
      </c>
      <c r="B279" s="28" t="s">
        <v>1996</v>
      </c>
      <c r="C279" s="28" t="s">
        <v>1995</v>
      </c>
      <c r="H279" s="28"/>
    </row>
    <row r="280" spans="1:8" x14ac:dyDescent="0.25">
      <c r="A280" s="28">
        <v>61</v>
      </c>
      <c r="B280" s="28" t="s">
        <v>1997</v>
      </c>
      <c r="C280" s="28" t="s">
        <v>1998</v>
      </c>
      <c r="H280" s="28"/>
    </row>
    <row r="281" spans="1:8" x14ac:dyDescent="0.25">
      <c r="A281" s="28">
        <v>198</v>
      </c>
      <c r="B281" s="28" t="s">
        <v>1999</v>
      </c>
      <c r="C281" s="28" t="s">
        <v>2000</v>
      </c>
      <c r="H281" s="28"/>
    </row>
    <row r="282" spans="1:8" x14ac:dyDescent="0.25">
      <c r="A282" s="28">
        <v>261</v>
      </c>
      <c r="B282" s="28" t="s">
        <v>2001</v>
      </c>
      <c r="C282" s="28" t="s">
        <v>2002</v>
      </c>
      <c r="H282" s="28"/>
    </row>
    <row r="283" spans="1:8" x14ac:dyDescent="0.25">
      <c r="A283" s="28">
        <v>262</v>
      </c>
      <c r="B283" s="28" t="s">
        <v>2003</v>
      </c>
      <c r="C283" s="28" t="s">
        <v>2004</v>
      </c>
      <c r="H283" s="28"/>
    </row>
    <row r="284" spans="1:8" x14ac:dyDescent="0.25">
      <c r="A284" s="28">
        <v>260</v>
      </c>
      <c r="B284" s="28" t="s">
        <v>2005</v>
      </c>
      <c r="C284" s="28" t="s">
        <v>2006</v>
      </c>
      <c r="H284" s="28"/>
    </row>
    <row r="285" spans="1:8" x14ac:dyDescent="0.25">
      <c r="A285" s="28">
        <v>257</v>
      </c>
      <c r="B285" s="28" t="s">
        <v>2007</v>
      </c>
      <c r="C285" s="28" t="s">
        <v>2008</v>
      </c>
      <c r="H285" s="28"/>
    </row>
    <row r="286" spans="1:8" x14ac:dyDescent="0.25">
      <c r="A286" s="28">
        <v>367</v>
      </c>
      <c r="B286" s="28" t="s">
        <v>2009</v>
      </c>
      <c r="C286" s="28" t="s">
        <v>2010</v>
      </c>
      <c r="H286" s="28"/>
    </row>
    <row r="287" spans="1:8" x14ac:dyDescent="0.25">
      <c r="A287" s="28">
        <v>368</v>
      </c>
      <c r="B287" s="28" t="s">
        <v>2011</v>
      </c>
      <c r="C287" s="28" t="s">
        <v>1672</v>
      </c>
      <c r="H287" s="28"/>
    </row>
    <row r="288" spans="1:8" x14ac:dyDescent="0.25">
      <c r="A288" s="28">
        <v>369</v>
      </c>
      <c r="B288" s="28" t="s">
        <v>2012</v>
      </c>
      <c r="C288" s="28" t="s">
        <v>1747</v>
      </c>
      <c r="H288" s="28"/>
    </row>
    <row r="289" spans="1:8" x14ac:dyDescent="0.25">
      <c r="A289" s="28">
        <v>370</v>
      </c>
      <c r="B289" s="28" t="s">
        <v>2013</v>
      </c>
      <c r="C289" s="28" t="s">
        <v>1672</v>
      </c>
      <c r="H289" s="28"/>
    </row>
    <row r="290" spans="1:8" x14ac:dyDescent="0.25">
      <c r="A290" s="28">
        <v>107</v>
      </c>
      <c r="B290" s="28" t="s">
        <v>2014</v>
      </c>
      <c r="C290" s="28" t="s">
        <v>2015</v>
      </c>
      <c r="H290" s="28"/>
    </row>
    <row r="291" spans="1:8" x14ac:dyDescent="0.25">
      <c r="A291" s="28">
        <v>105</v>
      </c>
      <c r="B291" s="28" t="s">
        <v>2016</v>
      </c>
      <c r="C291" s="28" t="s">
        <v>2017</v>
      </c>
      <c r="H291" s="28"/>
    </row>
    <row r="292" spans="1:8" x14ac:dyDescent="0.25">
      <c r="A292" s="28">
        <v>108</v>
      </c>
      <c r="B292" s="28" t="s">
        <v>2018</v>
      </c>
      <c r="C292" s="28" t="s">
        <v>2019</v>
      </c>
      <c r="H292" s="28"/>
    </row>
    <row r="293" spans="1:8" x14ac:dyDescent="0.25">
      <c r="A293" s="28">
        <v>119</v>
      </c>
      <c r="B293" s="28" t="s">
        <v>2020</v>
      </c>
      <c r="C293" s="28" t="s">
        <v>2021</v>
      </c>
      <c r="H293" s="28"/>
    </row>
    <row r="294" spans="1:8" x14ac:dyDescent="0.25">
      <c r="A294" s="28">
        <v>106</v>
      </c>
      <c r="B294" s="28" t="s">
        <v>2022</v>
      </c>
      <c r="C294" s="28" t="s">
        <v>2023</v>
      </c>
      <c r="H294" s="28"/>
    </row>
    <row r="295" spans="1:8" x14ac:dyDescent="0.25">
      <c r="A295" s="28">
        <v>118</v>
      </c>
      <c r="B295" s="28" t="s">
        <v>2024</v>
      </c>
      <c r="C295" s="28" t="s">
        <v>2025</v>
      </c>
      <c r="H295" s="28"/>
    </row>
    <row r="296" spans="1:8" x14ac:dyDescent="0.25">
      <c r="A296" s="28">
        <v>113</v>
      </c>
      <c r="B296" s="28" t="s">
        <v>2026</v>
      </c>
      <c r="C296" s="28" t="s">
        <v>2027</v>
      </c>
      <c r="H296" s="28"/>
    </row>
    <row r="297" spans="1:8" x14ac:dyDescent="0.25">
      <c r="A297" s="28">
        <v>473</v>
      </c>
      <c r="B297" s="28" t="s">
        <v>2028</v>
      </c>
      <c r="C297" s="28" t="s">
        <v>2029</v>
      </c>
      <c r="H297" s="28"/>
    </row>
    <row r="298" spans="1:8" x14ac:dyDescent="0.25">
      <c r="A298" s="28">
        <v>496</v>
      </c>
      <c r="B298" s="28" t="s">
        <v>2030</v>
      </c>
      <c r="C298" s="28" t="s">
        <v>1786</v>
      </c>
      <c r="H298" s="28"/>
    </row>
    <row r="299" spans="1:8" x14ac:dyDescent="0.25">
      <c r="A299" s="28">
        <v>492</v>
      </c>
      <c r="B299" s="28" t="s">
        <v>2031</v>
      </c>
      <c r="C299" s="28" t="s">
        <v>2032</v>
      </c>
      <c r="H299" s="28"/>
    </row>
    <row r="300" spans="1:8" x14ac:dyDescent="0.25">
      <c r="A300" s="28">
        <v>472</v>
      </c>
      <c r="B300" s="28" t="s">
        <v>2033</v>
      </c>
      <c r="C300" s="28" t="s">
        <v>1651</v>
      </c>
      <c r="H300" s="28"/>
    </row>
    <row r="301" spans="1:8" x14ac:dyDescent="0.25">
      <c r="A301" s="28">
        <v>494</v>
      </c>
      <c r="B301" s="28" t="s">
        <v>2034</v>
      </c>
      <c r="C301" s="28" t="s">
        <v>2035</v>
      </c>
      <c r="H301" s="28"/>
    </row>
    <row r="302" spans="1:8" x14ac:dyDescent="0.25">
      <c r="A302" s="28">
        <v>499</v>
      </c>
      <c r="B302" s="28" t="s">
        <v>2036</v>
      </c>
      <c r="C302" s="28" t="s">
        <v>1648</v>
      </c>
      <c r="H302" s="28"/>
    </row>
    <row r="303" spans="1:8" x14ac:dyDescent="0.25">
      <c r="A303" s="28">
        <v>493</v>
      </c>
      <c r="B303" s="28" t="s">
        <v>2037</v>
      </c>
      <c r="C303" s="28" t="s">
        <v>1737</v>
      </c>
      <c r="H303" s="28"/>
    </row>
    <row r="304" spans="1:8" x14ac:dyDescent="0.25">
      <c r="A304" s="28">
        <v>501</v>
      </c>
      <c r="B304" s="28" t="s">
        <v>2038</v>
      </c>
      <c r="C304" s="28" t="s">
        <v>2039</v>
      </c>
      <c r="H304" s="28"/>
    </row>
    <row r="305" spans="1:8" x14ac:dyDescent="0.25">
      <c r="A305" s="28">
        <v>495</v>
      </c>
      <c r="B305" s="28" t="s">
        <v>2040</v>
      </c>
      <c r="C305" s="28" t="s">
        <v>2041</v>
      </c>
      <c r="H305" s="28"/>
    </row>
    <row r="306" spans="1:8" x14ac:dyDescent="0.25">
      <c r="A306" s="28">
        <v>487</v>
      </c>
      <c r="B306" s="28" t="s">
        <v>2042</v>
      </c>
      <c r="C306" s="28" t="s">
        <v>1922</v>
      </c>
      <c r="H306" s="28"/>
    </row>
    <row r="307" spans="1:8" x14ac:dyDescent="0.25">
      <c r="A307" s="28">
        <v>488</v>
      </c>
      <c r="B307" s="28" t="s">
        <v>2043</v>
      </c>
      <c r="C307" s="28" t="s">
        <v>2044</v>
      </c>
      <c r="H307" s="28"/>
    </row>
    <row r="308" spans="1:8" x14ac:dyDescent="0.25">
      <c r="A308" s="28">
        <v>490</v>
      </c>
      <c r="B308" s="28" t="s">
        <v>2045</v>
      </c>
      <c r="C308" s="28" t="s">
        <v>1655</v>
      </c>
      <c r="H308" s="28"/>
    </row>
    <row r="309" spans="1:8" x14ac:dyDescent="0.25">
      <c r="A309" s="28">
        <v>475</v>
      </c>
      <c r="B309" s="28" t="s">
        <v>2046</v>
      </c>
      <c r="C309" s="28" t="s">
        <v>2047</v>
      </c>
      <c r="H309" s="28"/>
    </row>
    <row r="310" spans="1:8" x14ac:dyDescent="0.25">
      <c r="A310" s="28">
        <v>476</v>
      </c>
      <c r="B310" s="28" t="s">
        <v>2048</v>
      </c>
      <c r="C310" s="28" t="s">
        <v>2049</v>
      </c>
      <c r="H310" s="28"/>
    </row>
    <row r="311" spans="1:8" x14ac:dyDescent="0.25">
      <c r="A311" s="28">
        <v>491</v>
      </c>
      <c r="B311" s="28" t="s">
        <v>2050</v>
      </c>
      <c r="C311" s="28" t="s">
        <v>1788</v>
      </c>
      <c r="H311" s="28"/>
    </row>
    <row r="312" spans="1:8" x14ac:dyDescent="0.25">
      <c r="A312" s="28">
        <v>489</v>
      </c>
      <c r="B312" s="28" t="s">
        <v>2051</v>
      </c>
      <c r="C312" s="28" t="s">
        <v>2006</v>
      </c>
      <c r="H312" s="28"/>
    </row>
    <row r="313" spans="1:8" x14ac:dyDescent="0.25">
      <c r="A313" s="28">
        <v>482</v>
      </c>
      <c r="B313" s="28" t="s">
        <v>2052</v>
      </c>
      <c r="C313" s="28" t="s">
        <v>1830</v>
      </c>
      <c r="H313" s="28"/>
    </row>
    <row r="314" spans="1:8" x14ac:dyDescent="0.25">
      <c r="A314" s="28">
        <v>172</v>
      </c>
      <c r="B314" s="28" t="s">
        <v>2053</v>
      </c>
      <c r="C314" s="28" t="s">
        <v>1659</v>
      </c>
      <c r="H314" s="28"/>
    </row>
    <row r="315" spans="1:8" x14ac:dyDescent="0.25">
      <c r="A315" s="28">
        <v>502</v>
      </c>
      <c r="B315" s="28" t="s">
        <v>2054</v>
      </c>
      <c r="C315" s="28" t="s">
        <v>2055</v>
      </c>
      <c r="H315" s="28"/>
    </row>
    <row r="316" spans="1:8" x14ac:dyDescent="0.25">
      <c r="A316" s="28">
        <v>486</v>
      </c>
      <c r="B316" s="28" t="s">
        <v>2056</v>
      </c>
      <c r="C316" s="28" t="s">
        <v>1853</v>
      </c>
      <c r="H316" s="28"/>
    </row>
    <row r="317" spans="1:8" x14ac:dyDescent="0.25">
      <c r="A317" s="28">
        <v>479</v>
      </c>
      <c r="B317" s="28" t="s">
        <v>2057</v>
      </c>
      <c r="C317" s="28" t="s">
        <v>1655</v>
      </c>
      <c r="H317" s="28"/>
    </row>
    <row r="318" spans="1:8" x14ac:dyDescent="0.25">
      <c r="A318" s="28">
        <v>477</v>
      </c>
      <c r="B318" s="28" t="s">
        <v>2058</v>
      </c>
      <c r="C318" s="28" t="s">
        <v>2059</v>
      </c>
      <c r="H318" s="28"/>
    </row>
    <row r="319" spans="1:8" x14ac:dyDescent="0.25">
      <c r="A319" s="28">
        <v>478</v>
      </c>
      <c r="B319" s="28" t="s">
        <v>2060</v>
      </c>
      <c r="C319" s="28" t="s">
        <v>2061</v>
      </c>
      <c r="H319" s="28"/>
    </row>
    <row r="320" spans="1:8" x14ac:dyDescent="0.25">
      <c r="A320" s="28">
        <v>481</v>
      </c>
      <c r="B320" s="28" t="s">
        <v>2062</v>
      </c>
      <c r="C320" s="28" t="s">
        <v>1605</v>
      </c>
      <c r="H320" s="28"/>
    </row>
    <row r="321" spans="1:8" x14ac:dyDescent="0.25">
      <c r="A321" s="28">
        <v>480</v>
      </c>
      <c r="B321" s="28" t="s">
        <v>2063</v>
      </c>
      <c r="C321" s="28" t="s">
        <v>1687</v>
      </c>
      <c r="H321" s="28"/>
    </row>
    <row r="322" spans="1:8" x14ac:dyDescent="0.25">
      <c r="A322" s="28">
        <v>328</v>
      </c>
      <c r="B322" s="28" t="s">
        <v>2064</v>
      </c>
      <c r="C322" s="28" t="s">
        <v>1575</v>
      </c>
      <c r="H322" s="28"/>
    </row>
    <row r="323" spans="1:8" x14ac:dyDescent="0.25">
      <c r="A323" s="28">
        <v>110</v>
      </c>
      <c r="B323" s="28" t="s">
        <v>2065</v>
      </c>
      <c r="C323" s="28" t="s">
        <v>1627</v>
      </c>
      <c r="H323" s="28"/>
    </row>
    <row r="324" spans="1:8" x14ac:dyDescent="0.25">
      <c r="A324" s="28">
        <v>114</v>
      </c>
      <c r="B324" s="28" t="s">
        <v>2066</v>
      </c>
      <c r="C324" s="28" t="s">
        <v>1584</v>
      </c>
      <c r="H324" s="28"/>
    </row>
    <row r="325" spans="1:8" x14ac:dyDescent="0.25">
      <c r="A325" s="28">
        <v>124</v>
      </c>
      <c r="B325" s="28" t="s">
        <v>2067</v>
      </c>
      <c r="C325" s="28" t="s">
        <v>1825</v>
      </c>
      <c r="H325" s="28"/>
    </row>
    <row r="326" spans="1:8" x14ac:dyDescent="0.25">
      <c r="A326" s="28">
        <v>186</v>
      </c>
      <c r="B326" s="28" t="s">
        <v>2068</v>
      </c>
      <c r="C326" s="28" t="s">
        <v>1735</v>
      </c>
      <c r="H326" s="28"/>
    </row>
    <row r="327" spans="1:8" x14ac:dyDescent="0.25">
      <c r="A327" s="28">
        <v>207</v>
      </c>
      <c r="B327" s="28" t="s">
        <v>2069</v>
      </c>
      <c r="C327" s="28" t="s">
        <v>2070</v>
      </c>
      <c r="H327" s="28"/>
    </row>
    <row r="328" spans="1:8" x14ac:dyDescent="0.25">
      <c r="A328" s="28">
        <v>30</v>
      </c>
      <c r="B328" s="28" t="s">
        <v>2071</v>
      </c>
      <c r="C328" s="28" t="s">
        <v>2070</v>
      </c>
      <c r="H328" s="28"/>
    </row>
    <row r="329" spans="1:8" x14ac:dyDescent="0.25">
      <c r="A329" s="28">
        <v>8</v>
      </c>
      <c r="B329" s="28" t="s">
        <v>2072</v>
      </c>
      <c r="C329" s="28" t="s">
        <v>2073</v>
      </c>
      <c r="H329"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Index</vt:lpstr>
      <vt:lpstr>Index_DEMs</vt:lpstr>
      <vt:lpstr>Geology_Age</vt:lpstr>
      <vt:lpstr>geoINDEX200</vt:lpstr>
      <vt:lpstr>geoINDEX50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מיכל</dc:creator>
  <cp:lastModifiedBy>ADSL</cp:lastModifiedBy>
  <dcterms:created xsi:type="dcterms:W3CDTF">2017-07-06T20:06:58Z</dcterms:created>
  <dcterms:modified xsi:type="dcterms:W3CDTF">2022-07-13T08:57:15Z</dcterms:modified>
</cp:coreProperties>
</file>